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f597669d95829f3/Desktop/MS_NCSU/2026 Spring/ECE533/Final Project/"/>
    </mc:Choice>
  </mc:AlternateContent>
  <xr:revisionPtr revIDLastSave="44" documentId="11_1BD6B6221525B8A703DB16C01059B4823E84A3D5" xr6:coauthVersionLast="47" xr6:coauthVersionMax="47" xr10:uidLastSave="{146FFEC4-3F2C-464D-BF67-D8AAC14407AB}"/>
  <bookViews>
    <workbookView xWindow="-108" yWindow="-108" windowWidth="23256" windowHeight="12456" xr2:uid="{00000000-000D-0000-FFFF-FFFF00000000}"/>
  </bookViews>
  <sheets>
    <sheet name="My Lists Workshee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2" i="1"/>
</calcChain>
</file>

<file path=xl/sharedStrings.xml><?xml version="1.0" encoding="utf-8"?>
<sst xmlns="http://schemas.openxmlformats.org/spreadsheetml/2006/main" count="82" uniqueCount="74">
  <si>
    <t>Index</t>
  </si>
  <si>
    <t>Manufacturer Part Number</t>
  </si>
  <si>
    <t>Manufacturer Name</t>
  </si>
  <si>
    <t>Requested Quantity 1</t>
  </si>
  <si>
    <t>Digi-Key Part Number 1</t>
  </si>
  <si>
    <t>Unit Price 1</t>
  </si>
  <si>
    <t>Reference Designator</t>
  </si>
  <si>
    <t>SI86S620BC-IS</t>
  </si>
  <si>
    <t>Skyworks Solutions Inc.</t>
  </si>
  <si>
    <t>863-SI86S620BC-IS-ND</t>
  </si>
  <si>
    <t>3.28000</t>
  </si>
  <si>
    <t>AT1,AT2</t>
  </si>
  <si>
    <t>SS110HL-TP</t>
  </si>
  <si>
    <t>MCC (Micro Commercial Components)</t>
  </si>
  <si>
    <t>353-SS110HL-TPCT-ND</t>
  </si>
  <si>
    <t>0.36000</t>
  </si>
  <si>
    <t>D1,D2,D3,D4</t>
  </si>
  <si>
    <t>1053131206</t>
  </si>
  <si>
    <t>Molex</t>
  </si>
  <si>
    <t>WM14975-ND</t>
  </si>
  <si>
    <t>2.54000</t>
  </si>
  <si>
    <t>J4</t>
  </si>
  <si>
    <t>ERUC23-3R2K</t>
  </si>
  <si>
    <t>TDK</t>
  </si>
  <si>
    <t>495-ERUC23-3R2KCT-ND</t>
  </si>
  <si>
    <t>8.96000</t>
  </si>
  <si>
    <t>L1</t>
  </si>
  <si>
    <t>NME1S0505SC</t>
  </si>
  <si>
    <t>Murata Power Solutions Inc.</t>
  </si>
  <si>
    <t>811-NME1S0505SC-ND</t>
  </si>
  <si>
    <t>1.86000</t>
  </si>
  <si>
    <t>PS1</t>
  </si>
  <si>
    <t>EPC2304</t>
  </si>
  <si>
    <t>EPC</t>
  </si>
  <si>
    <t>917-EPC2304CT-ND</t>
  </si>
  <si>
    <t>9.05000</t>
  </si>
  <si>
    <t>Q3,Q4,Q5,Q6</t>
  </si>
  <si>
    <t>1EDN7550UXTSA1</t>
  </si>
  <si>
    <t>Infineon Technologies</t>
  </si>
  <si>
    <t>448-1EDN7550UXTSA1CT-ND</t>
  </si>
  <si>
    <t>0.80000</t>
  </si>
  <si>
    <t>U1,U2,U3,U4</t>
  </si>
  <si>
    <t>ERJ-2GEJ2R0X</t>
  </si>
  <si>
    <t>Panasonic Industry</t>
  </si>
  <si>
    <t>P2.0JCT-ND</t>
  </si>
  <si>
    <t>0.10000</t>
  </si>
  <si>
    <t>ERJ-2GEJ5R6X</t>
  </si>
  <si>
    <t>P5.6JCT-ND</t>
  </si>
  <si>
    <t>RC0402JR-074R7L</t>
  </si>
  <si>
    <t>YAGEO</t>
  </si>
  <si>
    <t>311-4.7JRCT-ND</t>
  </si>
  <si>
    <t>ERA-2AEB513X</t>
  </si>
  <si>
    <t>P51KDCCT-ND</t>
  </si>
  <si>
    <t>0.11000</t>
  </si>
  <si>
    <t>GRM21BD72A225KE01L</t>
  </si>
  <si>
    <t>Murata Electronics</t>
  </si>
  <si>
    <t>490-GRM21BD72A225KE01LCT-ND</t>
  </si>
  <si>
    <t>0.44000</t>
  </si>
  <si>
    <t>GRM155R62A104KE14D</t>
  </si>
  <si>
    <t>490-10458-1-ND</t>
  </si>
  <si>
    <t>GRM155R61A106ME11D</t>
  </si>
  <si>
    <t>490-GRM155R61A106ME11DCT-ND</t>
  </si>
  <si>
    <t>EGXF161ELL111MK25S</t>
  </si>
  <si>
    <t>Chemi-Con</t>
  </si>
  <si>
    <t>565-EGXF161ELL111MK25S-ND</t>
  </si>
  <si>
    <t>2.07000</t>
  </si>
  <si>
    <t>R15,R16,R17,R18</t>
  </si>
  <si>
    <t>R13,R14,R19,R20</t>
  </si>
  <si>
    <t>R9,R10,R11,R12</t>
  </si>
  <si>
    <t>R1,R2,R3,R4,R5,R6,R7,R8</t>
  </si>
  <si>
    <t>C1,C2,C3,C4</t>
  </si>
  <si>
    <t>C7,C8,C9,C10,C11,C13</t>
  </si>
  <si>
    <t>C12,C14</t>
  </si>
  <si>
    <t>C5,C6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</si>
</sst>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tabSelected="1" workbookViewId="0">
      <selection activeCell="G17" sqref="G17"/>
    </sheetView>
  </sheetViews>
  <sheetFormatPr defaultRowHeight="14.4"/>
  <cols>
    <col min="3" max="3" width="19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6</v>
      </c>
    </row>
    <row r="2" spans="1:8">
      <c r="A2">
        <v>1</v>
      </c>
      <c r="B2" t="s">
        <v>7</v>
      </c>
      <c r="C2" t="s">
        <v>8</v>
      </c>
      <c r="D2">
        <v>2</v>
      </c>
      <c r="E2" t="s">
        <v>9</v>
      </c>
      <c r="F2" t="s">
        <v>10</v>
      </c>
      <c r="G2">
        <f>F2*D2</f>
        <v>6.56</v>
      </c>
      <c r="H2" t="s">
        <v>11</v>
      </c>
    </row>
    <row r="3" spans="1:8">
      <c r="A3">
        <v>2</v>
      </c>
      <c r="B3" t="s">
        <v>12</v>
      </c>
      <c r="C3" t="s">
        <v>13</v>
      </c>
      <c r="D3">
        <v>4</v>
      </c>
      <c r="E3" t="s">
        <v>14</v>
      </c>
      <c r="F3" t="s">
        <v>15</v>
      </c>
      <c r="G3">
        <f t="shared" ref="G3:G16" si="0">F3*D3</f>
        <v>1.44</v>
      </c>
      <c r="H3" t="s">
        <v>16</v>
      </c>
    </row>
    <row r="4" spans="1:8">
      <c r="A4">
        <v>3</v>
      </c>
      <c r="B4" t="s">
        <v>17</v>
      </c>
      <c r="C4" t="s">
        <v>18</v>
      </c>
      <c r="D4">
        <v>1</v>
      </c>
      <c r="E4" t="s">
        <v>19</v>
      </c>
      <c r="F4" t="s">
        <v>20</v>
      </c>
      <c r="G4">
        <f t="shared" si="0"/>
        <v>2.54</v>
      </c>
      <c r="H4" t="s">
        <v>21</v>
      </c>
    </row>
    <row r="5" spans="1:8">
      <c r="A5">
        <v>4</v>
      </c>
      <c r="B5" t="s">
        <v>22</v>
      </c>
      <c r="C5" t="s">
        <v>23</v>
      </c>
      <c r="D5">
        <v>1</v>
      </c>
      <c r="E5" t="s">
        <v>24</v>
      </c>
      <c r="F5" t="s">
        <v>25</v>
      </c>
      <c r="G5">
        <f t="shared" si="0"/>
        <v>8.9600000000000009</v>
      </c>
      <c r="H5" t="s">
        <v>26</v>
      </c>
    </row>
    <row r="6" spans="1:8">
      <c r="A6">
        <v>5</v>
      </c>
      <c r="B6" t="s">
        <v>27</v>
      </c>
      <c r="C6" t="s">
        <v>28</v>
      </c>
      <c r="D6">
        <v>1</v>
      </c>
      <c r="E6" t="s">
        <v>29</v>
      </c>
      <c r="F6" t="s">
        <v>30</v>
      </c>
      <c r="G6">
        <f t="shared" si="0"/>
        <v>1.86</v>
      </c>
      <c r="H6" t="s">
        <v>31</v>
      </c>
    </row>
    <row r="7" spans="1:8">
      <c r="A7">
        <v>6</v>
      </c>
      <c r="B7" t="s">
        <v>32</v>
      </c>
      <c r="C7" t="s">
        <v>33</v>
      </c>
      <c r="D7">
        <v>4</v>
      </c>
      <c r="E7" t="s">
        <v>34</v>
      </c>
      <c r="F7" t="s">
        <v>35</v>
      </c>
      <c r="G7">
        <f t="shared" si="0"/>
        <v>36.200000000000003</v>
      </c>
      <c r="H7" t="s">
        <v>36</v>
      </c>
    </row>
    <row r="8" spans="1:8">
      <c r="A8">
        <v>7</v>
      </c>
      <c r="B8" t="s">
        <v>37</v>
      </c>
      <c r="C8" t="s">
        <v>38</v>
      </c>
      <c r="D8">
        <v>4</v>
      </c>
      <c r="E8" t="s">
        <v>39</v>
      </c>
      <c r="F8" t="s">
        <v>40</v>
      </c>
      <c r="G8">
        <f t="shared" si="0"/>
        <v>3.2</v>
      </c>
      <c r="H8" t="s">
        <v>41</v>
      </c>
    </row>
    <row r="9" spans="1:8">
      <c r="A9">
        <v>8</v>
      </c>
      <c r="B9" t="s">
        <v>42</v>
      </c>
      <c r="C9" t="s">
        <v>43</v>
      </c>
      <c r="D9">
        <v>4</v>
      </c>
      <c r="E9" t="s">
        <v>44</v>
      </c>
      <c r="F9" t="s">
        <v>45</v>
      </c>
      <c r="G9">
        <f t="shared" si="0"/>
        <v>0.4</v>
      </c>
      <c r="H9" t="s">
        <v>66</v>
      </c>
    </row>
    <row r="10" spans="1:8">
      <c r="A10">
        <v>9</v>
      </c>
      <c r="B10" t="s">
        <v>46</v>
      </c>
      <c r="C10" t="s">
        <v>43</v>
      </c>
      <c r="D10">
        <v>4</v>
      </c>
      <c r="E10" t="s">
        <v>47</v>
      </c>
      <c r="F10" t="s">
        <v>45</v>
      </c>
      <c r="G10">
        <f t="shared" si="0"/>
        <v>0.4</v>
      </c>
      <c r="H10" t="s">
        <v>67</v>
      </c>
    </row>
    <row r="11" spans="1:8">
      <c r="A11">
        <v>10</v>
      </c>
      <c r="B11" t="s">
        <v>48</v>
      </c>
      <c r="C11" t="s">
        <v>49</v>
      </c>
      <c r="D11">
        <v>4</v>
      </c>
      <c r="E11" t="s">
        <v>50</v>
      </c>
      <c r="F11" t="s">
        <v>45</v>
      </c>
      <c r="G11">
        <f t="shared" si="0"/>
        <v>0.4</v>
      </c>
      <c r="H11" t="s">
        <v>68</v>
      </c>
    </row>
    <row r="12" spans="1:8">
      <c r="A12">
        <v>11</v>
      </c>
      <c r="B12" t="s">
        <v>51</v>
      </c>
      <c r="C12" t="s">
        <v>43</v>
      </c>
      <c r="D12">
        <v>8</v>
      </c>
      <c r="E12" t="s">
        <v>52</v>
      </c>
      <c r="F12" t="s">
        <v>53</v>
      </c>
      <c r="G12">
        <f t="shared" si="0"/>
        <v>0.88</v>
      </c>
      <c r="H12" t="s">
        <v>69</v>
      </c>
    </row>
    <row r="13" spans="1:8">
      <c r="A13">
        <v>12</v>
      </c>
      <c r="B13" t="s">
        <v>54</v>
      </c>
      <c r="C13" t="s">
        <v>55</v>
      </c>
      <c r="D13">
        <v>4</v>
      </c>
      <c r="E13" t="s">
        <v>56</v>
      </c>
      <c r="F13" t="s">
        <v>57</v>
      </c>
      <c r="G13">
        <f t="shared" si="0"/>
        <v>1.76</v>
      </c>
      <c r="H13" t="s">
        <v>70</v>
      </c>
    </row>
    <row r="14" spans="1:8">
      <c r="A14">
        <v>13</v>
      </c>
      <c r="B14" t="s">
        <v>58</v>
      </c>
      <c r="C14" t="s">
        <v>55</v>
      </c>
      <c r="D14">
        <v>6</v>
      </c>
      <c r="E14" t="s">
        <v>59</v>
      </c>
      <c r="F14" t="s">
        <v>45</v>
      </c>
      <c r="G14">
        <f t="shared" si="0"/>
        <v>0.60000000000000009</v>
      </c>
      <c r="H14" t="s">
        <v>71</v>
      </c>
    </row>
    <row r="15" spans="1:8">
      <c r="A15">
        <v>14</v>
      </c>
      <c r="B15" t="s">
        <v>60</v>
      </c>
      <c r="C15" t="s">
        <v>55</v>
      </c>
      <c r="D15">
        <v>2</v>
      </c>
      <c r="E15" t="s">
        <v>61</v>
      </c>
      <c r="F15" t="s">
        <v>53</v>
      </c>
      <c r="G15">
        <f t="shared" si="0"/>
        <v>0.22</v>
      </c>
      <c r="H15" t="s">
        <v>72</v>
      </c>
    </row>
    <row r="16" spans="1:8">
      <c r="A16">
        <v>15</v>
      </c>
      <c r="B16" t="s">
        <v>62</v>
      </c>
      <c r="C16" t="s">
        <v>63</v>
      </c>
      <c r="D16">
        <v>5</v>
      </c>
      <c r="E16" t="s">
        <v>64</v>
      </c>
      <c r="F16" t="s">
        <v>65</v>
      </c>
      <c r="G16">
        <f t="shared" si="0"/>
        <v>10.35</v>
      </c>
      <c r="H16" t="s">
        <v>73</v>
      </c>
    </row>
    <row r="17" spans="7:7">
      <c r="G17">
        <f>SUM(G2:G16)</f>
        <v>75.77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4E2F3-2274-4108-839B-DE025164C8D7}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My Lists Worksheet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Tanishq Shendokar</cp:lastModifiedBy>
  <dcterms:modified xsi:type="dcterms:W3CDTF">2026-05-03T21:58:42Z</dcterms:modified>
</cp:coreProperties>
</file>