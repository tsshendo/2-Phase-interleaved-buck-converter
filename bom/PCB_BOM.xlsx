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OM" sheetId="1" state="visible" r:id="rId1"/>
    <sheet name="Original (report BOM)" sheetId="2" state="visible" r:id="rId2"/>
  </sheets>
  <definedNames>
    <definedName name="_xlnm._FilterDatabase" localSheetId="0" hidden="1">'BOM'!$A$1:$M$96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b val="1"/>
      <color rgb="00FFFFFF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8" customWidth="1" min="3" max="3"/>
    <col width="16" customWidth="1" min="4" max="4"/>
    <col width="26" customWidth="1" min="5" max="5"/>
    <col width="18" customWidth="1" min="6" max="6"/>
    <col width="26" customWidth="1" min="7" max="7"/>
    <col width="10" customWidth="1" min="8" max="8"/>
    <col width="10" customWidth="1" min="9" max="9"/>
    <col width="12" customWidth="1" min="10" max="10"/>
    <col width="34" customWidth="1" min="11" max="11"/>
    <col width="6" customWidth="1" min="12" max="12"/>
    <col width="44" customWidth="1" min="13" max="13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Reference designators</t>
        </is>
      </c>
      <c r="D1" s="1" t="inlineStr">
        <is>
          <t>Value</t>
        </is>
      </c>
      <c r="E1" s="1" t="inlineStr">
        <is>
          <t>Manufacturer part number</t>
        </is>
      </c>
      <c r="F1" s="1" t="inlineStr">
        <is>
          <t>Manufacturer</t>
        </is>
      </c>
      <c r="G1" s="1" t="inlineStr">
        <is>
          <t>Digi-Key PN</t>
        </is>
      </c>
      <c r="H1" s="1" t="inlineStr">
        <is>
          <t>Unit price (USD)</t>
        </is>
      </c>
      <c r="I1" s="1" t="inlineStr">
        <is>
          <t>Ext. price (USD)</t>
        </is>
      </c>
      <c r="J1" s="1" t="inlineStr">
        <is>
          <t>LCSC PN</t>
        </is>
      </c>
      <c r="K1" s="1" t="inlineStr">
        <is>
          <t>Footprint</t>
        </is>
      </c>
      <c r="L1" s="1" t="inlineStr">
        <is>
          <t>DNP</t>
        </is>
      </c>
      <c r="M1" s="1" t="inlineStr">
        <is>
          <t>Notes</t>
        </is>
      </c>
    </row>
    <row r="2">
      <c r="A2" t="n">
        <v>1</v>
      </c>
      <c r="B2" t="n">
        <v>2</v>
      </c>
      <c r="C2" s="2" t="inlineStr">
        <is>
          <t>AT1, AT2</t>
        </is>
      </c>
      <c r="D2" t="inlineStr">
        <is>
          <t>SI86S620BC-IS</t>
        </is>
      </c>
      <c r="E2" t="inlineStr">
        <is>
          <t>SI86S620BC-IS</t>
        </is>
      </c>
      <c r="F2" t="inlineStr">
        <is>
          <t>Skyworks</t>
        </is>
      </c>
      <c r="G2" t="inlineStr">
        <is>
          <t>863-SI86S620BC-IS-ND</t>
        </is>
      </c>
      <c r="H2" t="n">
        <v>3.28</v>
      </c>
      <c r="I2">
        <f>IF(H2="","",H2*B2)</f>
        <v/>
      </c>
      <c r="J2" t="inlineStr">
        <is>
          <t>C7363570</t>
        </is>
      </c>
      <c r="K2" t="inlineStr">
        <is>
          <t>SOIC-8_3.9x4.9mm_P1.27mm</t>
        </is>
      </c>
      <c r="L2" t="inlineStr"/>
      <c r="M2" s="2" t="inlineStr">
        <is>
          <t>Required part (CLAUDE.md section 4)</t>
        </is>
      </c>
    </row>
    <row r="3">
      <c r="A3" t="n">
        <v>2</v>
      </c>
      <c r="B3" t="n">
        <v>10</v>
      </c>
      <c r="C3" s="2" t="inlineStr">
        <is>
          <t>C1, C2, C3, C4, C15, C16, C17, C18, C74, C75</t>
        </is>
      </c>
      <c r="D3" t="inlineStr">
        <is>
          <t>2.2u/100V</t>
        </is>
      </c>
      <c r="E3" t="inlineStr">
        <is>
          <t>GRM21BD72A225KE01L</t>
        </is>
      </c>
      <c r="F3" t="inlineStr">
        <is>
          <t>Murata</t>
        </is>
      </c>
      <c r="G3" t="inlineStr">
        <is>
          <t>490-GRM21BD72A225KE01LCT-ND</t>
        </is>
      </c>
      <c r="H3" t="n">
        <v>0.44</v>
      </c>
      <c r="I3">
        <f>IF(H3="","",H3*B3)</f>
        <v/>
      </c>
      <c r="J3" t="inlineStr">
        <is>
          <t>C2981733</t>
        </is>
      </c>
      <c r="K3" t="inlineStr">
        <is>
          <t>C_0805_2012Metric</t>
        </is>
      </c>
      <c r="L3" t="inlineStr"/>
      <c r="M3" s="2" t="inlineStr">
        <is>
          <t>Required part (CLAUDE.md section 4)</t>
        </is>
      </c>
    </row>
    <row r="4">
      <c r="A4" t="n">
        <v>3</v>
      </c>
      <c r="B4" t="n">
        <v>2</v>
      </c>
      <c r="C4" s="2" t="inlineStr">
        <is>
          <t>C5, C6</t>
        </is>
      </c>
      <c r="D4" t="inlineStr">
        <is>
          <t>110u/160V</t>
        </is>
      </c>
      <c r="E4" t="inlineStr">
        <is>
          <t>EGXF161ELL111MK25S</t>
        </is>
      </c>
      <c r="F4" t="inlineStr">
        <is>
          <t>Chemi-Con</t>
        </is>
      </c>
      <c r="G4" t="inlineStr">
        <is>
          <t>565-EGXF161ELL111MK25S-ND</t>
        </is>
      </c>
      <c r="H4" t="n">
        <v>2.07</v>
      </c>
      <c r="I4">
        <f>IF(H4="","",H4*B4)</f>
        <v/>
      </c>
      <c r="J4" t="inlineStr">
        <is>
          <t>C1598290</t>
        </is>
      </c>
      <c r="K4" t="inlineStr">
        <is>
          <t>CP_Radial_D12.5mm_P5.00mm</t>
        </is>
      </c>
      <c r="L4" t="inlineStr"/>
      <c r="M4" s="2" t="inlineStr">
        <is>
          <t>Required part (CLAUDE.md section 4)</t>
        </is>
      </c>
    </row>
    <row r="5">
      <c r="A5" t="n">
        <v>4</v>
      </c>
      <c r="B5" t="n">
        <v>39</v>
      </c>
      <c r="C5" s="2" t="inlineStr">
        <is>
          <t>C7, C8, C9, C10, C11, C13, C30, C31, C40, C41, C45, C47, C49, C50, C54, C56, C58, C59, C68, C73, C80, C87, C88, C89, C90, C91, C94, C96, C98, C100, C102, C103, C111, C112, C113, C114, C116, C117, C119</t>
        </is>
      </c>
      <c r="D5" t="inlineStr">
        <is>
          <t>100n/50V</t>
        </is>
      </c>
      <c r="E5" t="inlineStr">
        <is>
          <t>GRM188R71H104KA93D</t>
        </is>
      </c>
      <c r="F5" t="inlineStr">
        <is>
          <t>Murata</t>
        </is>
      </c>
      <c r="G5" t="inlineStr"/>
      <c r="I5">
        <f>IF(H5="","",H5*B5)</f>
        <v/>
      </c>
      <c r="J5" t="inlineStr">
        <is>
          <t>C77055</t>
        </is>
      </c>
      <c r="K5" t="inlineStr">
        <is>
          <t>C_0603_1608Metric</t>
        </is>
      </c>
      <c r="L5" t="inlineStr"/>
      <c r="M5" s="2" t="inlineStr"/>
    </row>
    <row r="6">
      <c r="A6" t="n">
        <v>5</v>
      </c>
      <c r="B6" t="n">
        <v>4</v>
      </c>
      <c r="C6" s="2" t="inlineStr">
        <is>
          <t>C12, C14, C84, C86</t>
        </is>
      </c>
      <c r="D6" t="inlineStr">
        <is>
          <t>10u/10V</t>
        </is>
      </c>
      <c r="E6" t="inlineStr">
        <is>
          <t>GRM21BR71A106KE51L</t>
        </is>
      </c>
      <c r="F6" t="inlineStr">
        <is>
          <t>Murata</t>
        </is>
      </c>
      <c r="G6" t="inlineStr"/>
      <c r="I6">
        <f>IF(H6="","",H6*B6)</f>
        <v/>
      </c>
      <c r="J6" t="inlineStr">
        <is>
          <t>C86038</t>
        </is>
      </c>
      <c r="K6" t="inlineStr">
        <is>
          <t>C_0805_2012Metric</t>
        </is>
      </c>
      <c r="L6" t="inlineStr"/>
      <c r="M6" s="2" t="inlineStr"/>
    </row>
    <row r="7">
      <c r="A7" t="n">
        <v>6</v>
      </c>
      <c r="B7" t="n">
        <v>4</v>
      </c>
      <c r="C7" s="2" t="inlineStr">
        <is>
          <t>C32, C33, C34, C35</t>
        </is>
      </c>
      <c r="D7" t="inlineStr">
        <is>
          <t>10n/100V</t>
        </is>
      </c>
      <c r="E7" t="inlineStr">
        <is>
          <t>GRM188R72A103KA01D</t>
        </is>
      </c>
      <c r="F7" t="inlineStr">
        <is>
          <t>Murata</t>
        </is>
      </c>
      <c r="G7" t="inlineStr"/>
      <c r="I7">
        <f>IF(H7="","",H7*B7)</f>
        <v/>
      </c>
      <c r="J7" t="inlineStr">
        <is>
          <t>C162275</t>
        </is>
      </c>
      <c r="K7" t="inlineStr">
        <is>
          <t>C_0603_1608Metric</t>
        </is>
      </c>
      <c r="L7" t="inlineStr"/>
      <c r="M7" s="2" t="inlineStr"/>
    </row>
    <row r="8">
      <c r="A8" t="n">
        <v>7</v>
      </c>
      <c r="B8" t="n">
        <v>4</v>
      </c>
      <c r="C8" s="2" t="inlineStr">
        <is>
          <t>C42, C51, C105, C106</t>
        </is>
      </c>
      <c r="D8" t="inlineStr">
        <is>
          <t>1n/50V</t>
        </is>
      </c>
      <c r="E8" t="inlineStr">
        <is>
          <t>GRM1885C1H102JA01D</t>
        </is>
      </c>
      <c r="F8" t="inlineStr">
        <is>
          <t>Murata</t>
        </is>
      </c>
      <c r="G8" t="inlineStr"/>
      <c r="I8">
        <f>IF(H8="","",H8*B8)</f>
        <v/>
      </c>
      <c r="J8" t="inlineStr">
        <is>
          <t>C77026</t>
        </is>
      </c>
      <c r="K8" t="inlineStr">
        <is>
          <t>C_0603_1608Metric</t>
        </is>
      </c>
      <c r="L8" t="inlineStr"/>
      <c r="M8" s="2" t="inlineStr"/>
    </row>
    <row r="9">
      <c r="A9" t="n">
        <v>8</v>
      </c>
      <c r="B9" t="n">
        <v>16</v>
      </c>
      <c r="C9" s="2" t="inlineStr">
        <is>
          <t>C43, C44, C46, C48, C52, C53, C55, C57, C83, C85, C93, C95, C97, C99, C101, C115</t>
        </is>
      </c>
      <c r="D9" t="inlineStr">
        <is>
          <t>1u/25V</t>
        </is>
      </c>
      <c r="E9" t="inlineStr">
        <is>
          <t>GRM188R71E105KA12D</t>
        </is>
      </c>
      <c r="F9" t="inlineStr">
        <is>
          <t>Murata</t>
        </is>
      </c>
      <c r="G9" t="inlineStr"/>
      <c r="I9">
        <f>IF(H9="","",H9*B9)</f>
        <v/>
      </c>
      <c r="J9" t="inlineStr">
        <is>
          <t>C86020</t>
        </is>
      </c>
      <c r="K9" t="inlineStr">
        <is>
          <t>C_0603_1608Metric</t>
        </is>
      </c>
      <c r="L9" t="inlineStr"/>
      <c r="M9" s="2" t="inlineStr"/>
    </row>
    <row r="10">
      <c r="A10" t="n">
        <v>9</v>
      </c>
      <c r="B10" t="n">
        <v>6</v>
      </c>
      <c r="C10" s="2" t="inlineStr">
        <is>
          <t>C60, C61, C62, C63, C64, C65</t>
        </is>
      </c>
      <c r="D10" t="inlineStr">
        <is>
          <t>10u/50V</t>
        </is>
      </c>
      <c r="E10" t="inlineStr">
        <is>
          <t>GRM32ER71H106KA12L</t>
        </is>
      </c>
      <c r="F10" t="inlineStr">
        <is>
          <t>Murata</t>
        </is>
      </c>
      <c r="G10" t="inlineStr"/>
      <c r="I10">
        <f>IF(H10="","",H10*B10)</f>
        <v/>
      </c>
      <c r="J10" t="inlineStr">
        <is>
          <t>C77102</t>
        </is>
      </c>
      <c r="K10" t="inlineStr">
        <is>
          <t>C_1210_3225Metric</t>
        </is>
      </c>
      <c r="L10" t="inlineStr"/>
      <c r="M10" s="2" t="inlineStr"/>
    </row>
    <row r="11">
      <c r="A11" t="n">
        <v>10</v>
      </c>
      <c r="B11" t="n">
        <v>2</v>
      </c>
      <c r="C11" s="2" t="inlineStr">
        <is>
          <t>C66, C67</t>
        </is>
      </c>
      <c r="D11" t="inlineStr">
        <is>
          <t>100u/35V</t>
        </is>
      </c>
      <c r="E11" t="inlineStr">
        <is>
          <t>EEH-ZA1V101P</t>
        </is>
      </c>
      <c r="F11" t="inlineStr">
        <is>
          <t>Panasonic</t>
        </is>
      </c>
      <c r="G11" t="inlineStr"/>
      <c r="I11">
        <f>IF(H11="","",H11*B11)</f>
        <v/>
      </c>
      <c r="J11" t="inlineStr"/>
      <c r="K11" t="inlineStr">
        <is>
          <t>CP_Elec_8x10.5</t>
        </is>
      </c>
      <c r="L11" t="inlineStr"/>
      <c r="M11" s="2" t="inlineStr"/>
    </row>
    <row r="12">
      <c r="A12" t="n">
        <v>11</v>
      </c>
      <c r="B12" t="n">
        <v>2</v>
      </c>
      <c r="C12" s="2" t="inlineStr">
        <is>
          <t>C70, C71</t>
        </is>
      </c>
      <c r="D12" t="inlineStr">
        <is>
          <t>1u/100V</t>
        </is>
      </c>
      <c r="E12" t="inlineStr">
        <is>
          <t>CC0805KKX7R0BB105</t>
        </is>
      </c>
      <c r="F12" t="inlineStr">
        <is>
          <t>YAGEO</t>
        </is>
      </c>
      <c r="G12" t="inlineStr"/>
      <c r="I12">
        <f>IF(H12="","",H12*B12)</f>
        <v/>
      </c>
      <c r="J12" t="inlineStr">
        <is>
          <t>C5370002</t>
        </is>
      </c>
      <c r="K12" t="inlineStr">
        <is>
          <t>C_0805_2012Metric</t>
        </is>
      </c>
      <c r="L12" t="inlineStr"/>
      <c r="M12" s="2" t="inlineStr"/>
    </row>
    <row r="13">
      <c r="A13" t="n">
        <v>12</v>
      </c>
      <c r="B13" t="n">
        <v>1</v>
      </c>
      <c r="C13" s="2" t="inlineStr">
        <is>
          <t>C72</t>
        </is>
      </c>
      <c r="D13" t="inlineStr">
        <is>
          <t>470n/25V</t>
        </is>
      </c>
      <c r="E13" t="inlineStr">
        <is>
          <t>GRM188R71E474KA12D</t>
        </is>
      </c>
      <c r="F13" t="inlineStr">
        <is>
          <t>Murata</t>
        </is>
      </c>
      <c r="G13" t="inlineStr"/>
      <c r="I13">
        <f>IF(H13="","",H13*B13)</f>
        <v/>
      </c>
      <c r="J13" t="inlineStr">
        <is>
          <t>C77052</t>
        </is>
      </c>
      <c r="K13" t="inlineStr">
        <is>
          <t>C_0603_1608Metric</t>
        </is>
      </c>
      <c r="L13" t="inlineStr"/>
      <c r="M13" s="2" t="inlineStr"/>
    </row>
    <row r="14">
      <c r="A14" t="n">
        <v>13</v>
      </c>
      <c r="B14" t="n">
        <v>1</v>
      </c>
      <c r="C14" s="2" t="inlineStr">
        <is>
          <t>C76</t>
        </is>
      </c>
      <c r="D14" t="inlineStr">
        <is>
          <t>100n/100V</t>
        </is>
      </c>
      <c r="E14" t="inlineStr">
        <is>
          <t>GRM188R72A104KA35D</t>
        </is>
      </c>
      <c r="F14" t="inlineStr">
        <is>
          <t>Murata</t>
        </is>
      </c>
      <c r="G14" t="inlineStr"/>
      <c r="I14">
        <f>IF(H14="","",H14*B14)</f>
        <v/>
      </c>
      <c r="J14" t="inlineStr">
        <is>
          <t>C77058</t>
        </is>
      </c>
      <c r="K14" t="inlineStr">
        <is>
          <t>C_0603_1608Metric</t>
        </is>
      </c>
      <c r="L14" t="inlineStr"/>
      <c r="M14" s="2" t="inlineStr"/>
    </row>
    <row r="15">
      <c r="A15" t="n">
        <v>14</v>
      </c>
      <c r="B15" t="n">
        <v>2</v>
      </c>
      <c r="C15" s="2" t="inlineStr">
        <is>
          <t>C77, C107</t>
        </is>
      </c>
      <c r="D15" t="inlineStr">
        <is>
          <t>2.2n/50V</t>
        </is>
      </c>
      <c r="E15" t="inlineStr">
        <is>
          <t>GRM188R71H222KA01D</t>
        </is>
      </c>
      <c r="F15" t="inlineStr">
        <is>
          <t>Murata</t>
        </is>
      </c>
      <c r="G15" t="inlineStr"/>
      <c r="I15">
        <f>IF(H15="","",H15*B15)</f>
        <v/>
      </c>
      <c r="J15" t="inlineStr">
        <is>
          <t>C86023</t>
        </is>
      </c>
      <c r="K15" t="inlineStr">
        <is>
          <t>C_0603_1608Metric</t>
        </is>
      </c>
      <c r="L15" t="inlineStr"/>
      <c r="M15" s="2" t="inlineStr"/>
    </row>
    <row r="16">
      <c r="A16" t="n">
        <v>15</v>
      </c>
      <c r="B16" t="n">
        <v>2</v>
      </c>
      <c r="C16" s="2" t="inlineStr">
        <is>
          <t>C78, C79</t>
        </is>
      </c>
      <c r="D16" t="inlineStr">
        <is>
          <t>22u/10V</t>
        </is>
      </c>
      <c r="E16" t="inlineStr">
        <is>
          <t>GRM31CR71A226KE15L</t>
        </is>
      </c>
      <c r="F16" t="inlineStr">
        <is>
          <t>Murata</t>
        </is>
      </c>
      <c r="G16" t="inlineStr"/>
      <c r="I16">
        <f>IF(H16="","",H16*B16)</f>
        <v/>
      </c>
      <c r="J16" t="inlineStr">
        <is>
          <t>C91604</t>
        </is>
      </c>
      <c r="K16" t="inlineStr">
        <is>
          <t>C_1206_3216Metric</t>
        </is>
      </c>
      <c r="L16" t="inlineStr"/>
      <c r="M16" s="2" t="inlineStr"/>
    </row>
    <row r="17">
      <c r="A17" t="n">
        <v>16</v>
      </c>
      <c r="B17" t="n">
        <v>2</v>
      </c>
      <c r="C17" s="2" t="inlineStr">
        <is>
          <t>C81, C108</t>
        </is>
      </c>
      <c r="D17" t="inlineStr">
        <is>
          <t>4.7n/50V</t>
        </is>
      </c>
      <c r="E17" t="inlineStr">
        <is>
          <t>GRM188R71H472KA01D</t>
        </is>
      </c>
      <c r="F17" t="inlineStr">
        <is>
          <t>Murata</t>
        </is>
      </c>
      <c r="G17" t="inlineStr"/>
      <c r="I17">
        <f>IF(H17="","",H17*B17)</f>
        <v/>
      </c>
      <c r="J17" t="inlineStr">
        <is>
          <t>C77057</t>
        </is>
      </c>
      <c r="K17" t="inlineStr">
        <is>
          <t>C_0603_1608Metric</t>
        </is>
      </c>
      <c r="L17" t="inlineStr"/>
      <c r="M17" s="2" t="inlineStr"/>
    </row>
    <row r="18">
      <c r="A18" t="n">
        <v>17</v>
      </c>
      <c r="B18" t="n">
        <v>1</v>
      </c>
      <c r="C18" s="2" t="inlineStr">
        <is>
          <t>C82</t>
        </is>
      </c>
      <c r="D18" t="inlineStr">
        <is>
          <t>47n/50V</t>
        </is>
      </c>
      <c r="E18" t="inlineStr">
        <is>
          <t>GRM188R71H473KA61D</t>
        </is>
      </c>
      <c r="F18" t="inlineStr">
        <is>
          <t>Murata</t>
        </is>
      </c>
      <c r="G18" t="inlineStr"/>
      <c r="I18">
        <f>IF(H18="","",H18*B18)</f>
        <v/>
      </c>
      <c r="J18" t="inlineStr">
        <is>
          <t>C86027</t>
        </is>
      </c>
      <c r="K18" t="inlineStr">
        <is>
          <t>C_0603_1608Metric</t>
        </is>
      </c>
      <c r="L18" t="inlineStr"/>
      <c r="M18" s="2" t="inlineStr"/>
    </row>
    <row r="19">
      <c r="A19" t="n">
        <v>18</v>
      </c>
      <c r="B19" t="n">
        <v>3</v>
      </c>
      <c r="C19" s="2" t="inlineStr">
        <is>
          <t>C92, C104, C109</t>
        </is>
      </c>
      <c r="D19" t="inlineStr">
        <is>
          <t>100p/50V</t>
        </is>
      </c>
      <c r="E19" t="inlineStr">
        <is>
          <t>GRM1885C1H101JA01D</t>
        </is>
      </c>
      <c r="F19" t="inlineStr">
        <is>
          <t>Murata</t>
        </is>
      </c>
      <c r="G19" t="inlineStr"/>
      <c r="I19">
        <f>IF(H19="","",H19*B19)</f>
        <v/>
      </c>
      <c r="J19" t="inlineStr">
        <is>
          <t>C71664</t>
        </is>
      </c>
      <c r="K19" t="inlineStr">
        <is>
          <t>C_0603_1608Metric</t>
        </is>
      </c>
      <c r="L19" t="inlineStr"/>
      <c r="M19" s="2" t="inlineStr"/>
    </row>
    <row r="20">
      <c r="A20" t="n">
        <v>19</v>
      </c>
      <c r="B20" t="n">
        <v>1</v>
      </c>
      <c r="C20" s="2" t="inlineStr">
        <is>
          <t>C118</t>
        </is>
      </c>
      <c r="D20" t="inlineStr">
        <is>
          <t>10n/50V</t>
        </is>
      </c>
      <c r="E20" t="inlineStr">
        <is>
          <t>GRM188R71H103KA01D</t>
        </is>
      </c>
      <c r="F20" t="inlineStr">
        <is>
          <t>Murata</t>
        </is>
      </c>
      <c r="G20" t="inlineStr"/>
      <c r="I20">
        <f>IF(H20="","",H20*B20)</f>
        <v/>
      </c>
      <c r="J20" t="inlineStr">
        <is>
          <t>C77053</t>
        </is>
      </c>
      <c r="K20" t="inlineStr">
        <is>
          <t>C_0603_1608Metric</t>
        </is>
      </c>
      <c r="L20" t="inlineStr"/>
      <c r="M20" s="2" t="inlineStr"/>
    </row>
    <row r="21">
      <c r="A21" t="n">
        <v>20</v>
      </c>
      <c r="B21" t="n">
        <v>2</v>
      </c>
      <c r="C21" s="2" t="inlineStr">
        <is>
          <t>D1, D2</t>
        </is>
      </c>
      <c r="D21" t="inlineStr">
        <is>
          <t>SS110HL</t>
        </is>
      </c>
      <c r="E21" t="inlineStr">
        <is>
          <t>SS110HL-TP</t>
        </is>
      </c>
      <c r="F21" t="inlineStr">
        <is>
          <t>MCC</t>
        </is>
      </c>
      <c r="G21" t="inlineStr">
        <is>
          <t>353-SS110HL-TPCT-ND</t>
        </is>
      </c>
      <c r="H21" t="n">
        <v>0.36</v>
      </c>
      <c r="I21">
        <f>IF(H21="","",H21*B21)</f>
        <v/>
      </c>
      <c r="J21" t="inlineStr">
        <is>
          <t>C19996385</t>
        </is>
      </c>
      <c r="K21" t="inlineStr">
        <is>
          <t>D_SOD-123F</t>
        </is>
      </c>
      <c r="L21" t="inlineStr"/>
      <c r="M21" s="2" t="inlineStr">
        <is>
          <t>Required part (CLAUDE.md section 4)</t>
        </is>
      </c>
    </row>
    <row r="22">
      <c r="A22" t="n">
        <v>21</v>
      </c>
      <c r="B22" t="n">
        <v>2</v>
      </c>
      <c r="C22" s="2" t="inlineStr">
        <is>
          <t>D3, D4</t>
        </is>
      </c>
      <c r="D22" t="inlineStr">
        <is>
          <t>5.1V</t>
        </is>
      </c>
      <c r="E22" t="inlineStr">
        <is>
          <t>BZT52C5V1-TP</t>
        </is>
      </c>
      <c r="F22" t="inlineStr">
        <is>
          <t>MCC</t>
        </is>
      </c>
      <c r="G22" t="inlineStr"/>
      <c r="I22">
        <f>IF(H22="","",H22*B22)</f>
        <v/>
      </c>
      <c r="J22" t="inlineStr">
        <is>
          <t>C78728</t>
        </is>
      </c>
      <c r="K22" t="inlineStr">
        <is>
          <t>D_SOD-123</t>
        </is>
      </c>
      <c r="L22" t="inlineStr"/>
      <c r="M22" s="2" t="inlineStr"/>
    </row>
    <row r="23">
      <c r="A23" t="n">
        <v>22</v>
      </c>
      <c r="B23" t="n">
        <v>1</v>
      </c>
      <c r="C23" s="2" t="inlineStr">
        <is>
          <t>D5</t>
        </is>
      </c>
      <c r="D23" t="inlineStr">
        <is>
          <t>30BQ100</t>
        </is>
      </c>
      <c r="E23" t="inlineStr">
        <is>
          <t>VS-30BQ100TRPBF</t>
        </is>
      </c>
      <c r="F23" t="inlineStr">
        <is>
          <t>Vishay</t>
        </is>
      </c>
      <c r="G23" t="inlineStr"/>
      <c r="I23">
        <f>IF(H23="","",H23*B23)</f>
        <v/>
      </c>
      <c r="J23" t="inlineStr"/>
      <c r="K23" t="inlineStr">
        <is>
          <t>D_SMC</t>
        </is>
      </c>
      <c r="L23" t="inlineStr"/>
      <c r="M23" s="2" t="inlineStr"/>
    </row>
    <row r="24">
      <c r="A24" t="n">
        <v>23</v>
      </c>
      <c r="B24" t="n">
        <v>1</v>
      </c>
      <c r="C24" s="2" t="inlineStr">
        <is>
          <t>D6</t>
        </is>
      </c>
      <c r="D24" t="inlineStr">
        <is>
          <t>SMDJ85CA</t>
        </is>
      </c>
      <c r="E24" t="inlineStr">
        <is>
          <t>SMDJ85CA</t>
        </is>
      </c>
      <c r="F24" t="inlineStr">
        <is>
          <t>Littelfuse</t>
        </is>
      </c>
      <c r="G24" t="inlineStr"/>
      <c r="I24">
        <f>IF(H24="","",H24*B24)</f>
        <v/>
      </c>
      <c r="J24" t="inlineStr">
        <is>
          <t>C1978008</t>
        </is>
      </c>
      <c r="K24" t="inlineStr">
        <is>
          <t>D_SMC</t>
        </is>
      </c>
      <c r="L24" t="inlineStr"/>
      <c r="M24" s="2" t="inlineStr"/>
    </row>
    <row r="25">
      <c r="A25" t="n">
        <v>24</v>
      </c>
      <c r="B25" t="n">
        <v>2</v>
      </c>
      <c r="C25" s="2" t="inlineStr">
        <is>
          <t>D7, D14</t>
        </is>
      </c>
      <c r="D25" t="inlineStr">
        <is>
          <t>TPD4E05U06</t>
        </is>
      </c>
      <c r="E25" t="inlineStr">
        <is>
          <t>TPD4E05U06DQAR</t>
        </is>
      </c>
      <c r="F25" t="inlineStr">
        <is>
          <t>TI</t>
        </is>
      </c>
      <c r="G25" t="inlineStr"/>
      <c r="I25">
        <f>IF(H25="","",H25*B25)</f>
        <v/>
      </c>
      <c r="J25" t="inlineStr">
        <is>
          <t>C138714</t>
        </is>
      </c>
      <c r="K25" t="inlineStr">
        <is>
          <t>USON-10_2.5x1.0mm_P0.5mm</t>
        </is>
      </c>
      <c r="L25" t="inlineStr"/>
      <c r="M25" s="2" t="inlineStr"/>
    </row>
    <row r="26">
      <c r="A26" t="n">
        <v>25</v>
      </c>
      <c r="B26" t="n">
        <v>1</v>
      </c>
      <c r="C26" s="2" t="inlineStr">
        <is>
          <t>D8</t>
        </is>
      </c>
      <c r="D26" t="inlineStr">
        <is>
          <t>GREEN PGOOD</t>
        </is>
      </c>
      <c r="E26" t="inlineStr">
        <is>
          <t>LTST-C191KGKT</t>
        </is>
      </c>
      <c r="F26" t="inlineStr">
        <is>
          <t>Lite-On</t>
        </is>
      </c>
      <c r="G26" t="inlineStr"/>
      <c r="I26">
        <f>IF(H26="","",H26*B26)</f>
        <v/>
      </c>
      <c r="J26" t="inlineStr">
        <is>
          <t>C125098</t>
        </is>
      </c>
      <c r="K26" t="inlineStr">
        <is>
          <t>LED_0603_1608Metric</t>
        </is>
      </c>
      <c r="L26" t="inlineStr"/>
      <c r="M26" s="2" t="inlineStr"/>
    </row>
    <row r="27">
      <c r="A27" t="n">
        <v>26</v>
      </c>
      <c r="B27" t="n">
        <v>1</v>
      </c>
      <c r="C27" s="2" t="inlineStr">
        <is>
          <t>D9</t>
        </is>
      </c>
      <c r="D27" t="inlineStr">
        <is>
          <t>RED FAULT</t>
        </is>
      </c>
      <c r="E27" t="inlineStr">
        <is>
          <t>LTST-C191KRKT</t>
        </is>
      </c>
      <c r="F27" t="inlineStr">
        <is>
          <t>Lite-On</t>
        </is>
      </c>
      <c r="G27" t="inlineStr"/>
      <c r="I27">
        <f>IF(H27="","",H27*B27)</f>
        <v/>
      </c>
      <c r="J27" t="inlineStr">
        <is>
          <t>C125099</t>
        </is>
      </c>
      <c r="K27" t="inlineStr">
        <is>
          <t>LED_0603_1608Metric</t>
        </is>
      </c>
      <c r="L27" t="inlineStr"/>
      <c r="M27" s="2" t="inlineStr"/>
    </row>
    <row r="28">
      <c r="A28" t="n">
        <v>27</v>
      </c>
      <c r="B28" t="n">
        <v>2</v>
      </c>
      <c r="C28" s="2" t="inlineStr">
        <is>
          <t>D15, D16</t>
        </is>
      </c>
      <c r="D28" t="inlineStr">
        <is>
          <t>BAT54W</t>
        </is>
      </c>
      <c r="E28" t="inlineStr">
        <is>
          <t>BAT54W-7-F</t>
        </is>
      </c>
      <c r="F28" t="inlineStr">
        <is>
          <t>Diodes Inc</t>
        </is>
      </c>
      <c r="G28" t="inlineStr"/>
      <c r="I28">
        <f>IF(H28="","",H28*B28)</f>
        <v/>
      </c>
      <c r="J28" t="inlineStr">
        <is>
          <t>C134417</t>
        </is>
      </c>
      <c r="K28" t="inlineStr">
        <is>
          <t>SOT-323_SC-70</t>
        </is>
      </c>
      <c r="L28" t="inlineStr"/>
      <c r="M28" s="2" t="inlineStr"/>
    </row>
    <row r="29">
      <c r="A29" t="n">
        <v>28</v>
      </c>
      <c r="B29" t="n">
        <v>1</v>
      </c>
      <c r="C29" s="2" t="inlineStr">
        <is>
          <t>FB1</t>
        </is>
      </c>
      <c r="D29" t="inlineStr">
        <is>
          <t>600R@100MHz</t>
        </is>
      </c>
      <c r="E29" t="inlineStr">
        <is>
          <t>BLM18KG601SN1D</t>
        </is>
      </c>
      <c r="F29" t="inlineStr">
        <is>
          <t>Murata</t>
        </is>
      </c>
      <c r="G29" t="inlineStr"/>
      <c r="I29">
        <f>IF(H29="","",H29*B29)</f>
        <v/>
      </c>
      <c r="J29" t="inlineStr">
        <is>
          <t>C85833</t>
        </is>
      </c>
      <c r="K29" t="inlineStr">
        <is>
          <t>L_0603_1608Metric</t>
        </is>
      </c>
      <c r="L29" t="inlineStr"/>
      <c r="M29" s="2" t="inlineStr"/>
    </row>
    <row r="30">
      <c r="A30" t="n">
        <v>29</v>
      </c>
      <c r="B30" t="n">
        <v>1</v>
      </c>
      <c r="C30" s="2" t="inlineStr">
        <is>
          <t>J1</t>
        </is>
      </c>
      <c r="D30" t="inlineStr">
        <is>
          <t>DC+ 72V</t>
        </is>
      </c>
      <c r="E30" t="inlineStr">
        <is>
          <t>74650194R</t>
        </is>
      </c>
      <c r="F30" t="inlineStr">
        <is>
          <t>Wurth Elektronik</t>
        </is>
      </c>
      <c r="G30" t="inlineStr"/>
      <c r="I30">
        <f>IF(H30="","",H30*B30)</f>
        <v/>
      </c>
      <c r="J30" t="inlineStr"/>
      <c r="K30" t="inlineStr">
        <is>
          <t>Wurth_REDCUBE_74650194</t>
        </is>
      </c>
      <c r="L30" t="inlineStr"/>
      <c r="M30" s="2" t="inlineStr"/>
    </row>
    <row r="31">
      <c r="A31" t="n">
        <v>30</v>
      </c>
      <c r="B31" t="n">
        <v>1</v>
      </c>
      <c r="C31" s="2" t="inlineStr">
        <is>
          <t>J2</t>
        </is>
      </c>
      <c r="D31" t="inlineStr">
        <is>
          <t>VOUT+</t>
        </is>
      </c>
      <c r="E31" t="inlineStr">
        <is>
          <t>74650194R</t>
        </is>
      </c>
      <c r="F31" t="inlineStr">
        <is>
          <t>Wurth Elektronik</t>
        </is>
      </c>
      <c r="G31" t="inlineStr"/>
      <c r="I31">
        <f>IF(H31="","",H31*B31)</f>
        <v/>
      </c>
      <c r="J31" t="inlineStr"/>
      <c r="K31" t="inlineStr">
        <is>
          <t>Wurth_REDCUBE_74650194</t>
        </is>
      </c>
      <c r="L31" t="inlineStr"/>
      <c r="M31" s="2" t="inlineStr"/>
    </row>
    <row r="32">
      <c r="A32" t="n">
        <v>31</v>
      </c>
      <c r="B32" t="n">
        <v>1</v>
      </c>
      <c r="C32" s="2" t="inlineStr">
        <is>
          <t>J3</t>
        </is>
      </c>
      <c r="D32" t="inlineStr">
        <is>
          <t>DC- return</t>
        </is>
      </c>
      <c r="E32" t="inlineStr">
        <is>
          <t>74650194R</t>
        </is>
      </c>
      <c r="F32" t="inlineStr">
        <is>
          <t>Wurth Elektronik</t>
        </is>
      </c>
      <c r="G32" t="inlineStr"/>
      <c r="I32">
        <f>IF(H32="","",H32*B32)</f>
        <v/>
      </c>
      <c r="J32" t="inlineStr"/>
      <c r="K32" t="inlineStr">
        <is>
          <t>Wurth_REDCUBE_74650194</t>
        </is>
      </c>
      <c r="L32" t="inlineStr"/>
      <c r="M32" s="2" t="inlineStr"/>
    </row>
    <row r="33">
      <c r="A33" t="n">
        <v>32</v>
      </c>
      <c r="B33" t="n">
        <v>1</v>
      </c>
      <c r="C33" s="2" t="inlineStr">
        <is>
          <t>J4</t>
        </is>
      </c>
      <c r="D33" t="inlineStr">
        <is>
          <t>RACK I/O Nano-Fit</t>
        </is>
      </c>
      <c r="E33" t="inlineStr">
        <is>
          <t>105313-1206</t>
        </is>
      </c>
      <c r="F33" t="inlineStr">
        <is>
          <t>Molex</t>
        </is>
      </c>
      <c r="G33" t="inlineStr">
        <is>
          <t>WM14975-ND</t>
        </is>
      </c>
      <c r="H33" t="n">
        <v>2.54</v>
      </c>
      <c r="I33">
        <f>IF(H33="","",H33*B33)</f>
        <v/>
      </c>
      <c r="J33" t="inlineStr">
        <is>
          <t>C17656275</t>
        </is>
      </c>
      <c r="K33" t="inlineStr">
        <is>
          <t>Molex_Nano-Fit_105313-xx06_1x06_P2.50mm_Horizontal</t>
        </is>
      </c>
      <c r="L33" t="inlineStr"/>
      <c r="M33" s="2" t="inlineStr">
        <is>
          <t>Required part (CLAUDE.md section 4)</t>
        </is>
      </c>
    </row>
    <row r="34">
      <c r="A34" t="n">
        <v>33</v>
      </c>
      <c r="B34" t="n">
        <v>1</v>
      </c>
      <c r="C34" s="2" t="inlineStr">
        <is>
          <t>J5</t>
        </is>
      </c>
      <c r="D34" t="inlineStr">
        <is>
          <t>FAN Micro-Fit</t>
        </is>
      </c>
      <c r="E34" t="inlineStr">
        <is>
          <t>43650-0400</t>
        </is>
      </c>
      <c r="F34" t="inlineStr">
        <is>
          <t>Molex</t>
        </is>
      </c>
      <c r="G34" t="inlineStr"/>
      <c r="I34">
        <f>IF(H34="","",H34*B34)</f>
        <v/>
      </c>
      <c r="J34" t="inlineStr">
        <is>
          <t>C277684</t>
        </is>
      </c>
      <c r="K34" t="inlineStr">
        <is>
          <t>Molex_Micro-Fit_3.0_43650-0400_1x04_P3.00mm_Horizontal</t>
        </is>
      </c>
      <c r="L34" t="inlineStr"/>
      <c r="M34" s="2" t="inlineStr"/>
    </row>
    <row r="35">
      <c r="A35" t="n">
        <v>34</v>
      </c>
      <c r="B35" t="n">
        <v>1</v>
      </c>
      <c r="C35" s="2" t="inlineStr">
        <is>
          <t>J6</t>
        </is>
      </c>
      <c r="D35" t="inlineStr">
        <is>
          <t>VOUT-</t>
        </is>
      </c>
      <c r="E35" t="inlineStr">
        <is>
          <t>74650194R</t>
        </is>
      </c>
      <c r="F35" t="inlineStr">
        <is>
          <t>Wurth Elektronik</t>
        </is>
      </c>
      <c r="G35" t="inlineStr"/>
      <c r="I35">
        <f>IF(H35="","",H35*B35)</f>
        <v/>
      </c>
      <c r="J35" t="inlineStr"/>
      <c r="K35" t="inlineStr">
        <is>
          <t>Wurth_REDCUBE_74650194</t>
        </is>
      </c>
      <c r="L35" t="inlineStr"/>
      <c r="M35" s="2" t="inlineStr"/>
    </row>
    <row r="36">
      <c r="A36" t="n">
        <v>35</v>
      </c>
      <c r="B36" t="n">
        <v>1</v>
      </c>
      <c r="C36" s="2" t="inlineStr">
        <is>
          <t>L1</t>
        </is>
      </c>
      <c r="D36" t="inlineStr">
        <is>
          <t>ERUC23-3R2K</t>
        </is>
      </c>
      <c r="E36" t="inlineStr">
        <is>
          <t>ERUC23-3R2K</t>
        </is>
      </c>
      <c r="F36" t="inlineStr">
        <is>
          <t>TDK</t>
        </is>
      </c>
      <c r="G36" t="inlineStr">
        <is>
          <t>495-ERUC23-3R2KCT-ND</t>
        </is>
      </c>
      <c r="H36" t="n">
        <v>8.960000000000001</v>
      </c>
      <c r="I36">
        <f>IF(H36="","",H36*B36)</f>
        <v/>
      </c>
      <c r="J36" t="inlineStr"/>
      <c r="K36" t="inlineStr">
        <is>
          <t>TDK_ERUC23</t>
        </is>
      </c>
      <c r="L36" t="inlineStr"/>
      <c r="M36" s="2" t="inlineStr">
        <is>
          <t>Required part (CLAUDE.md section 4); Custom footprint, drawn in Stage 3</t>
        </is>
      </c>
    </row>
    <row r="37">
      <c r="A37" t="n">
        <v>36</v>
      </c>
      <c r="B37" t="n">
        <v>1</v>
      </c>
      <c r="C37" s="2" t="inlineStr">
        <is>
          <t>L2</t>
        </is>
      </c>
      <c r="D37" t="inlineStr">
        <is>
          <t>33uH</t>
        </is>
      </c>
      <c r="E37" t="inlineStr">
        <is>
          <t>XAL7070-333MEB</t>
        </is>
      </c>
      <c r="F37" t="inlineStr">
        <is>
          <t>Coilcraft</t>
        </is>
      </c>
      <c r="G37" t="inlineStr"/>
      <c r="I37">
        <f>IF(H37="","",H37*B37)</f>
        <v/>
      </c>
      <c r="J37" t="inlineStr"/>
      <c r="K37" t="inlineStr">
        <is>
          <t>L_Coilcraft_XAL7070-XXX</t>
        </is>
      </c>
      <c r="L37" t="inlineStr"/>
      <c r="M37" s="2" t="inlineStr"/>
    </row>
    <row r="38">
      <c r="A38" t="n">
        <v>37</v>
      </c>
      <c r="B38" t="n">
        <v>1</v>
      </c>
      <c r="C38" s="2" t="inlineStr">
        <is>
          <t>PS1</t>
        </is>
      </c>
      <c r="D38" t="inlineStr">
        <is>
          <t>NME1S0505SC</t>
        </is>
      </c>
      <c r="E38" t="inlineStr">
        <is>
          <t>NME1S0505SC</t>
        </is>
      </c>
      <c r="F38" t="inlineStr">
        <is>
          <t>Murata</t>
        </is>
      </c>
      <c r="G38" t="inlineStr">
        <is>
          <t>811-NME1S0505SC-ND</t>
        </is>
      </c>
      <c r="H38" t="n">
        <v>1.86</v>
      </c>
      <c r="I38">
        <f>IF(H38="","",H38*B38)</f>
        <v/>
      </c>
      <c r="J38" t="inlineStr">
        <is>
          <t>C39128444</t>
        </is>
      </c>
      <c r="K38" t="inlineStr">
        <is>
          <t>Murata_NME1S_SIP-4</t>
        </is>
      </c>
      <c r="L38" t="inlineStr"/>
      <c r="M38" s="2" t="inlineStr">
        <is>
          <t>Required part (CLAUDE.md section 4)</t>
        </is>
      </c>
    </row>
    <row r="39">
      <c r="A39" t="n">
        <v>38</v>
      </c>
      <c r="B39" t="n">
        <v>2</v>
      </c>
      <c r="C39" s="2" t="inlineStr">
        <is>
          <t>Q1, Q2</t>
        </is>
      </c>
      <c r="D39" t="inlineStr">
        <is>
          <t>IPT015N10N5</t>
        </is>
      </c>
      <c r="E39" t="inlineStr">
        <is>
          <t>IPT015N10N5</t>
        </is>
      </c>
      <c r="F39" t="inlineStr">
        <is>
          <t>Infineon</t>
        </is>
      </c>
      <c r="G39" t="inlineStr"/>
      <c r="I39">
        <f>IF(H39="","",H39*B39)</f>
        <v/>
      </c>
      <c r="J39" t="inlineStr">
        <is>
          <t>C108964</t>
        </is>
      </c>
      <c r="K39" t="inlineStr">
        <is>
          <t>Infineon_PG-HSOF-8-1</t>
        </is>
      </c>
      <c r="L39" t="inlineStr"/>
      <c r="M39" s="2" t="inlineStr"/>
    </row>
    <row r="40">
      <c r="A40" t="n">
        <v>39</v>
      </c>
      <c r="B40" t="n">
        <v>4</v>
      </c>
      <c r="C40" s="2" t="inlineStr">
        <is>
          <t>Q3, Q4, Q5, Q6</t>
        </is>
      </c>
      <c r="D40" t="inlineStr">
        <is>
          <t>EPC2304</t>
        </is>
      </c>
      <c r="E40" t="inlineStr">
        <is>
          <t>EPC2304</t>
        </is>
      </c>
      <c r="F40" t="inlineStr">
        <is>
          <t>EPC</t>
        </is>
      </c>
      <c r="G40" t="inlineStr">
        <is>
          <t>917-EPC2304CT-ND</t>
        </is>
      </c>
      <c r="H40" t="n">
        <v>9.050000000000001</v>
      </c>
      <c r="I40">
        <f>IF(H40="","",H40*B40)</f>
        <v/>
      </c>
      <c r="J40" t="inlineStr">
        <is>
          <t>C6549215</t>
        </is>
      </c>
      <c r="K40" t="inlineStr">
        <is>
          <t>EPC2304_QFN-7_3x5mm</t>
        </is>
      </c>
      <c r="L40" t="inlineStr"/>
      <c r="M40" s="2" t="inlineStr">
        <is>
          <t>Required part (CLAUDE.md section 4); Custom footprint, drawn in Stage 3</t>
        </is>
      </c>
    </row>
    <row r="41">
      <c r="A41" t="n">
        <v>40</v>
      </c>
      <c r="B41" t="n">
        <v>2</v>
      </c>
      <c r="C41" s="2" t="inlineStr">
        <is>
          <t>Q7, Q8</t>
        </is>
      </c>
      <c r="D41" t="inlineStr">
        <is>
          <t>2N7002</t>
        </is>
      </c>
      <c r="E41" t="inlineStr">
        <is>
          <t>2N7002LT1G</t>
        </is>
      </c>
      <c r="F41" t="inlineStr">
        <is>
          <t>onsemi</t>
        </is>
      </c>
      <c r="G41" t="inlineStr"/>
      <c r="I41">
        <f>IF(H41="","",H41*B41)</f>
        <v/>
      </c>
      <c r="J41" t="inlineStr">
        <is>
          <t>C16338</t>
        </is>
      </c>
      <c r="K41" t="inlineStr">
        <is>
          <t>SOT-23</t>
        </is>
      </c>
      <c r="L41" t="inlineStr"/>
      <c r="M41" s="2" t="inlineStr"/>
    </row>
    <row r="42">
      <c r="A42" t="n">
        <v>41</v>
      </c>
      <c r="B42" t="n">
        <v>4</v>
      </c>
      <c r="C42" s="2" t="inlineStr">
        <is>
          <t>R1, R2, R3, R4</t>
        </is>
      </c>
      <c r="D42" t="inlineStr">
        <is>
          <t>51k</t>
        </is>
      </c>
      <c r="E42" t="inlineStr">
        <is>
          <t>RC0603FR-0751KL</t>
        </is>
      </c>
      <c r="F42" t="inlineStr">
        <is>
          <t>YAGEO</t>
        </is>
      </c>
      <c r="G42" t="inlineStr"/>
      <c r="I42">
        <f>IF(H42="","",H42*B42)</f>
        <v/>
      </c>
      <c r="J42" t="inlineStr"/>
      <c r="K42" t="inlineStr">
        <is>
          <t>R_0603_1608Metric</t>
        </is>
      </c>
      <c r="L42" t="inlineStr"/>
      <c r="M42" s="2" t="inlineStr"/>
    </row>
    <row r="43">
      <c r="A43" t="n">
        <v>42</v>
      </c>
      <c r="B43" t="n">
        <v>2</v>
      </c>
      <c r="C43" s="2" t="inlineStr">
        <is>
          <t>R9, R10</t>
        </is>
      </c>
      <c r="D43" t="inlineStr">
        <is>
          <t>4.7</t>
        </is>
      </c>
      <c r="E43" t="inlineStr">
        <is>
          <t>RC0603FR-074R7L</t>
        </is>
      </c>
      <c r="F43" t="inlineStr">
        <is>
          <t>YAGEO</t>
        </is>
      </c>
      <c r="G43" t="inlineStr"/>
      <c r="I43">
        <f>IF(H43="","",H43*B43)</f>
        <v/>
      </c>
      <c r="J43" t="inlineStr"/>
      <c r="K43" t="inlineStr">
        <is>
          <t>R_0603_1608Metric</t>
        </is>
      </c>
      <c r="L43" t="inlineStr"/>
      <c r="M43" s="2" t="inlineStr"/>
    </row>
    <row r="44">
      <c r="A44" t="n">
        <v>43</v>
      </c>
      <c r="B44" t="n">
        <v>2</v>
      </c>
      <c r="C44" s="2" t="inlineStr">
        <is>
          <t>R13, R14</t>
        </is>
      </c>
      <c r="D44" t="inlineStr">
        <is>
          <t>5.6</t>
        </is>
      </c>
      <c r="E44" t="inlineStr">
        <is>
          <t>RC0603FR-075R6L</t>
        </is>
      </c>
      <c r="F44" t="inlineStr">
        <is>
          <t>YAGEO</t>
        </is>
      </c>
      <c r="G44" t="inlineStr"/>
      <c r="I44">
        <f>IF(H44="","",H44*B44)</f>
        <v/>
      </c>
      <c r="J44" t="inlineStr"/>
      <c r="K44" t="inlineStr">
        <is>
          <t>R_0603_1608Metric</t>
        </is>
      </c>
      <c r="L44" t="inlineStr"/>
      <c r="M44" s="2" t="inlineStr"/>
    </row>
    <row r="45">
      <c r="A45" t="n">
        <v>44</v>
      </c>
      <c r="B45" t="n">
        <v>2</v>
      </c>
      <c r="C45" s="2" t="inlineStr">
        <is>
          <t>R15, R16</t>
        </is>
      </c>
      <c r="D45" t="inlineStr">
        <is>
          <t>2</t>
        </is>
      </c>
      <c r="E45" t="inlineStr">
        <is>
          <t>RC0603FR-072RL</t>
        </is>
      </c>
      <c r="F45" t="inlineStr">
        <is>
          <t>YAGEO</t>
        </is>
      </c>
      <c r="G45" t="inlineStr"/>
      <c r="I45">
        <f>IF(H45="","",H45*B45)</f>
        <v/>
      </c>
      <c r="J45" t="inlineStr"/>
      <c r="K45" t="inlineStr">
        <is>
          <t>R_0603_1608Metric</t>
        </is>
      </c>
      <c r="L45" t="inlineStr"/>
      <c r="M45" s="2" t="inlineStr"/>
    </row>
    <row r="46">
      <c r="A46" t="n">
        <v>45</v>
      </c>
      <c r="B46" t="n">
        <v>2</v>
      </c>
      <c r="C46" s="2" t="inlineStr">
        <is>
          <t>R21, R22</t>
        </is>
      </c>
      <c r="D46" t="inlineStr">
        <is>
          <t>6.04k</t>
        </is>
      </c>
      <c r="E46" t="inlineStr">
        <is>
          <t>RC0603FR-076K04L</t>
        </is>
      </c>
      <c r="F46" t="inlineStr">
        <is>
          <t>YAGEO</t>
        </is>
      </c>
      <c r="G46" t="inlineStr"/>
      <c r="I46">
        <f>IF(H46="","",H46*B46)</f>
        <v/>
      </c>
      <c r="J46" t="inlineStr"/>
      <c r="K46" t="inlineStr">
        <is>
          <t>R_0603_1608Metric</t>
        </is>
      </c>
      <c r="L46" t="inlineStr"/>
      <c r="M46" s="2" t="inlineStr"/>
    </row>
    <row r="47">
      <c r="A47" t="n">
        <v>46</v>
      </c>
      <c r="B47" t="n">
        <v>2</v>
      </c>
      <c r="C47" s="2" t="inlineStr">
        <is>
          <t>R27, R28</t>
        </is>
      </c>
      <c r="D47" t="inlineStr">
        <is>
          <t>22.6k</t>
        </is>
      </c>
      <c r="E47" t="inlineStr">
        <is>
          <t>RC0603FR-0722K6L</t>
        </is>
      </c>
      <c r="F47" t="inlineStr">
        <is>
          <t>YAGEO</t>
        </is>
      </c>
      <c r="G47" t="inlineStr"/>
      <c r="I47">
        <f>IF(H47="","",H47*B47)</f>
        <v/>
      </c>
      <c r="J47" t="inlineStr"/>
      <c r="K47" t="inlineStr">
        <is>
          <t>R_0603_1608Metric</t>
        </is>
      </c>
      <c r="L47" t="inlineStr"/>
      <c r="M47" s="2" t="inlineStr"/>
    </row>
    <row r="48">
      <c r="A48" t="n">
        <v>47</v>
      </c>
      <c r="B48" t="n">
        <v>15</v>
      </c>
      <c r="C48" s="2" t="inlineStr">
        <is>
          <t>R29, R30, R48, R52, R53, R55, R58, R61, R62, R81, R84, R91, R93, R94, R95</t>
        </is>
      </c>
      <c r="D48" t="inlineStr">
        <is>
          <t>10k</t>
        </is>
      </c>
      <c r="E48" t="inlineStr">
        <is>
          <t>RC0603FR-0710KL</t>
        </is>
      </c>
      <c r="F48" t="inlineStr">
        <is>
          <t>YAGEO</t>
        </is>
      </c>
      <c r="G48" t="inlineStr"/>
      <c r="I48">
        <f>IF(H48="","",H48*B48)</f>
        <v/>
      </c>
      <c r="J48" t="inlineStr"/>
      <c r="K48" t="inlineStr">
        <is>
          <t>R_0603_1608Metric</t>
        </is>
      </c>
      <c r="L48" t="inlineStr"/>
      <c r="M48" s="2" t="inlineStr"/>
    </row>
    <row r="49">
      <c r="A49" t="n">
        <v>48</v>
      </c>
      <c r="B49" t="n">
        <v>5</v>
      </c>
      <c r="C49" s="2" t="inlineStr">
        <is>
          <t>R31, R32, R33, R34, R44</t>
        </is>
      </c>
      <c r="D49" t="inlineStr">
        <is>
          <t>10</t>
        </is>
      </c>
      <c r="E49" t="inlineStr">
        <is>
          <t>RC0603FR-0710RL</t>
        </is>
      </c>
      <c r="F49" t="inlineStr">
        <is>
          <t>YAGEO</t>
        </is>
      </c>
      <c r="G49" t="inlineStr"/>
      <c r="I49">
        <f>IF(H49="","",H49*B49)</f>
        <v/>
      </c>
      <c r="J49" t="inlineStr"/>
      <c r="K49" t="inlineStr">
        <is>
          <t>R_0603_1608Metric</t>
        </is>
      </c>
      <c r="L49" t="inlineStr"/>
      <c r="M49" s="2" t="inlineStr"/>
    </row>
    <row r="50">
      <c r="A50" t="n">
        <v>49</v>
      </c>
      <c r="B50" t="n">
        <v>1</v>
      </c>
      <c r="C50" s="2" t="inlineStr">
        <is>
          <t>R40</t>
        </is>
      </c>
      <c r="D50" t="inlineStr">
        <is>
          <t>5.49k</t>
        </is>
      </c>
      <c r="E50" t="inlineStr">
        <is>
          <t>RC0603FR-075K49L</t>
        </is>
      </c>
      <c r="F50" t="inlineStr">
        <is>
          <t>YAGEO</t>
        </is>
      </c>
      <c r="G50" t="inlineStr"/>
      <c r="I50">
        <f>IF(H50="","",H50*B50)</f>
        <v/>
      </c>
      <c r="J50" t="inlineStr"/>
      <c r="K50" t="inlineStr">
        <is>
          <t>R_0603_1608Metric</t>
        </is>
      </c>
      <c r="L50" t="inlineStr"/>
      <c r="M50" s="2" t="inlineStr"/>
    </row>
    <row r="51">
      <c r="A51" t="n">
        <v>50</v>
      </c>
      <c r="B51" t="n">
        <v>1</v>
      </c>
      <c r="C51" s="2" t="inlineStr">
        <is>
          <t>R41</t>
        </is>
      </c>
      <c r="D51" t="inlineStr">
        <is>
          <t>1M</t>
        </is>
      </c>
      <c r="E51" t="inlineStr">
        <is>
          <t>RC0603FR-071ML</t>
        </is>
      </c>
      <c r="F51" t="inlineStr">
        <is>
          <t>YAGEO</t>
        </is>
      </c>
      <c r="G51" t="inlineStr"/>
      <c r="I51">
        <f>IF(H51="","",H51*B51)</f>
        <v/>
      </c>
      <c r="J51" t="inlineStr"/>
      <c r="K51" t="inlineStr">
        <is>
          <t>R_0603_1608Metric</t>
        </is>
      </c>
      <c r="L51" t="inlineStr"/>
      <c r="M51" s="2" t="inlineStr"/>
    </row>
    <row r="52">
      <c r="A52" t="n">
        <v>51</v>
      </c>
      <c r="B52" t="n">
        <v>1</v>
      </c>
      <c r="C52" s="2" t="inlineStr">
        <is>
          <t>R43</t>
        </is>
      </c>
      <c r="D52" t="inlineStr">
        <is>
          <t>330</t>
        </is>
      </c>
      <c r="E52" t="inlineStr">
        <is>
          <t>RC0603FR-07330RL</t>
        </is>
      </c>
      <c r="F52" t="inlineStr">
        <is>
          <t>YAGEO</t>
        </is>
      </c>
      <c r="G52" t="inlineStr"/>
      <c r="I52">
        <f>IF(H52="","",H52*B52)</f>
        <v/>
      </c>
      <c r="J52" t="inlineStr"/>
      <c r="K52" t="inlineStr">
        <is>
          <t>R_0603_1608Metric</t>
        </is>
      </c>
      <c r="L52" t="inlineStr"/>
      <c r="M52" s="2" t="inlineStr"/>
    </row>
    <row r="53">
      <c r="A53" t="n">
        <v>52</v>
      </c>
      <c r="B53" t="n">
        <v>1</v>
      </c>
      <c r="C53" s="2" t="inlineStr">
        <is>
          <t>R45</t>
        </is>
      </c>
      <c r="D53" t="inlineStr">
        <is>
          <t>95.3k</t>
        </is>
      </c>
      <c r="E53" t="inlineStr">
        <is>
          <t>RC1206FR-0795K3L</t>
        </is>
      </c>
      <c r="F53" t="inlineStr">
        <is>
          <t>YAGEO</t>
        </is>
      </c>
      <c r="G53" t="inlineStr"/>
      <c r="I53">
        <f>IF(H53="","",H53*B53)</f>
        <v/>
      </c>
      <c r="J53" t="inlineStr"/>
      <c r="K53" t="inlineStr">
        <is>
          <t>R_1206_3216Metric</t>
        </is>
      </c>
      <c r="L53" t="inlineStr"/>
      <c r="M53" s="2" t="inlineStr"/>
    </row>
    <row r="54">
      <c r="A54" t="n">
        <v>53</v>
      </c>
      <c r="B54" t="n">
        <v>1</v>
      </c>
      <c r="C54" s="2" t="inlineStr">
        <is>
          <t>R46</t>
        </is>
      </c>
      <c r="D54" t="inlineStr">
        <is>
          <t>4.12k</t>
        </is>
      </c>
      <c r="E54" t="inlineStr">
        <is>
          <t>RC0603FR-074K12L</t>
        </is>
      </c>
      <c r="F54" t="inlineStr">
        <is>
          <t>YAGEO</t>
        </is>
      </c>
      <c r="G54" t="inlineStr"/>
      <c r="I54">
        <f>IF(H54="","",H54*B54)</f>
        <v/>
      </c>
      <c r="J54" t="inlineStr"/>
      <c r="K54" t="inlineStr">
        <is>
          <t>R_0603_1608Metric</t>
        </is>
      </c>
      <c r="L54" t="inlineStr"/>
      <c r="M54" s="2" t="inlineStr"/>
    </row>
    <row r="55">
      <c r="A55" t="n">
        <v>54</v>
      </c>
      <c r="B55" t="n">
        <v>1</v>
      </c>
      <c r="C55" s="2" t="inlineStr">
        <is>
          <t>R47</t>
        </is>
      </c>
      <c r="D55" t="inlineStr">
        <is>
          <t>13.0k</t>
        </is>
      </c>
      <c r="E55" t="inlineStr">
        <is>
          <t>RC0603FR-0713KL</t>
        </is>
      </c>
      <c r="F55" t="inlineStr">
        <is>
          <t>YAGEO</t>
        </is>
      </c>
      <c r="G55" t="inlineStr"/>
      <c r="I55">
        <f>IF(H55="","",H55*B55)</f>
        <v/>
      </c>
      <c r="J55" t="inlineStr"/>
      <c r="K55" t="inlineStr">
        <is>
          <t>R_0603_1608Metric</t>
        </is>
      </c>
      <c r="L55" t="inlineStr"/>
      <c r="M55" s="2" t="inlineStr"/>
    </row>
    <row r="56">
      <c r="A56" t="n">
        <v>55</v>
      </c>
      <c r="B56" t="n">
        <v>1</v>
      </c>
      <c r="C56" s="2" t="inlineStr">
        <is>
          <t>R49</t>
        </is>
      </c>
      <c r="D56" t="inlineStr">
        <is>
          <t>649k 0.1%</t>
        </is>
      </c>
      <c r="E56" t="inlineStr">
        <is>
          <t>ERA-8AEB6493V</t>
        </is>
      </c>
      <c r="F56" t="inlineStr">
        <is>
          <t>Panasonic</t>
        </is>
      </c>
      <c r="G56" t="inlineStr"/>
      <c r="I56">
        <f>IF(H56="","",H56*B56)</f>
        <v/>
      </c>
      <c r="J56" t="inlineStr"/>
      <c r="K56" t="inlineStr">
        <is>
          <t>R_1206_3216Metric</t>
        </is>
      </c>
      <c r="L56" t="inlineStr"/>
      <c r="M56" s="2" t="inlineStr"/>
    </row>
    <row r="57">
      <c r="A57" t="n">
        <v>56</v>
      </c>
      <c r="B57" t="n">
        <v>4</v>
      </c>
      <c r="C57" s="2" t="inlineStr">
        <is>
          <t>R50, R65, R69, R71</t>
        </is>
      </c>
      <c r="D57" t="inlineStr">
        <is>
          <t>10.0k 0.1%</t>
        </is>
      </c>
      <c r="E57" t="inlineStr">
        <is>
          <t>ERA-3AEB1002V</t>
        </is>
      </c>
      <c r="F57" t="inlineStr">
        <is>
          <t>Panasonic</t>
        </is>
      </c>
      <c r="G57" t="inlineStr"/>
      <c r="I57">
        <f>IF(H57="","",H57*B57)</f>
        <v/>
      </c>
      <c r="J57" t="inlineStr"/>
      <c r="K57" t="inlineStr">
        <is>
          <t>R_0603_1608Metric</t>
        </is>
      </c>
      <c r="L57" t="inlineStr"/>
      <c r="M57" s="2" t="inlineStr"/>
    </row>
    <row r="58">
      <c r="A58" t="n">
        <v>57</v>
      </c>
      <c r="B58" t="n">
        <v>1</v>
      </c>
      <c r="C58" s="2" t="inlineStr">
        <is>
          <t>R51</t>
        </is>
      </c>
      <c r="D58" t="inlineStr">
        <is>
          <t>1.69M</t>
        </is>
      </c>
      <c r="E58" t="inlineStr">
        <is>
          <t>RC0603FR-071M69L</t>
        </is>
      </c>
      <c r="F58" t="inlineStr">
        <is>
          <t>YAGEO</t>
        </is>
      </c>
      <c r="G58" t="inlineStr"/>
      <c r="I58">
        <f>IF(H58="","",H58*B58)</f>
        <v/>
      </c>
      <c r="J58" t="inlineStr"/>
      <c r="K58" t="inlineStr">
        <is>
          <t>R_0603_1608Metric</t>
        </is>
      </c>
      <c r="L58" t="inlineStr"/>
      <c r="M58" s="2" t="inlineStr"/>
    </row>
    <row r="59">
      <c r="A59" t="n">
        <v>58</v>
      </c>
      <c r="B59" t="n">
        <v>1</v>
      </c>
      <c r="C59" s="2" t="inlineStr">
        <is>
          <t>R54</t>
        </is>
      </c>
      <c r="D59" t="inlineStr">
        <is>
          <t>200k</t>
        </is>
      </c>
      <c r="E59" t="inlineStr">
        <is>
          <t>RC1206FR-07200KL</t>
        </is>
      </c>
      <c r="F59" t="inlineStr">
        <is>
          <t>YAGEO</t>
        </is>
      </c>
      <c r="G59" t="inlineStr"/>
      <c r="I59">
        <f>IF(H59="","",H59*B59)</f>
        <v/>
      </c>
      <c r="J59" t="inlineStr"/>
      <c r="K59" t="inlineStr">
        <is>
          <t>R_1206_3216Metric</t>
        </is>
      </c>
      <c r="L59" t="inlineStr"/>
      <c r="M59" s="2" t="inlineStr"/>
    </row>
    <row r="60">
      <c r="A60" t="n">
        <v>59</v>
      </c>
      <c r="B60" t="n">
        <v>1</v>
      </c>
      <c r="C60" s="2" t="inlineStr">
        <is>
          <t>R56</t>
        </is>
      </c>
      <c r="D60" t="inlineStr">
        <is>
          <t>32.4k</t>
        </is>
      </c>
      <c r="E60" t="inlineStr">
        <is>
          <t>RC0603FR-0732K4L</t>
        </is>
      </c>
      <c r="F60" t="inlineStr">
        <is>
          <t>YAGEO</t>
        </is>
      </c>
      <c r="G60" t="inlineStr"/>
      <c r="I60">
        <f>IF(H60="","",H60*B60)</f>
        <v/>
      </c>
      <c r="J60" t="inlineStr"/>
      <c r="K60" t="inlineStr">
        <is>
          <t>R_0603_1608Metric</t>
        </is>
      </c>
      <c r="L60" t="inlineStr"/>
      <c r="M60" s="2" t="inlineStr"/>
    </row>
    <row r="61">
      <c r="A61" t="n">
        <v>60</v>
      </c>
      <c r="B61" t="n">
        <v>1</v>
      </c>
      <c r="C61" s="2" t="inlineStr">
        <is>
          <t>R57</t>
        </is>
      </c>
      <c r="D61" t="inlineStr">
        <is>
          <t>33.2k</t>
        </is>
      </c>
      <c r="E61" t="inlineStr">
        <is>
          <t>RC0603FR-0733K2L</t>
        </is>
      </c>
      <c r="F61" t="inlineStr">
        <is>
          <t>YAGEO</t>
        </is>
      </c>
      <c r="G61" t="inlineStr"/>
      <c r="I61">
        <f>IF(H61="","",H61*B61)</f>
        <v/>
      </c>
      <c r="J61" t="inlineStr"/>
      <c r="K61" t="inlineStr">
        <is>
          <t>R_0603_1608Metric</t>
        </is>
      </c>
      <c r="L61" t="inlineStr"/>
      <c r="M61" s="2" t="inlineStr"/>
    </row>
    <row r="62">
      <c r="A62" t="n">
        <v>61</v>
      </c>
      <c r="B62" t="n">
        <v>3</v>
      </c>
      <c r="C62" s="2" t="inlineStr">
        <is>
          <t>R59, R86, R87</t>
        </is>
      </c>
      <c r="D62" t="inlineStr">
        <is>
          <t>100k</t>
        </is>
      </c>
      <c r="E62" t="inlineStr">
        <is>
          <t>RC0603FR-07100KL</t>
        </is>
      </c>
      <c r="F62" t="inlineStr">
        <is>
          <t>YAGEO</t>
        </is>
      </c>
      <c r="G62" t="inlineStr"/>
      <c r="I62">
        <f>IF(H62="","",H62*B62)</f>
        <v/>
      </c>
      <c r="J62" t="inlineStr"/>
      <c r="K62" t="inlineStr">
        <is>
          <t>R_0603_1608Metric</t>
        </is>
      </c>
      <c r="L62" t="inlineStr"/>
      <c r="M62" s="2" t="inlineStr"/>
    </row>
    <row r="63">
      <c r="A63" t="n">
        <v>62</v>
      </c>
      <c r="B63" t="n">
        <v>1</v>
      </c>
      <c r="C63" s="2" t="inlineStr">
        <is>
          <t>R60</t>
        </is>
      </c>
      <c r="D63" t="inlineStr">
        <is>
          <t>25.5k</t>
        </is>
      </c>
      <c r="E63" t="inlineStr">
        <is>
          <t>RC0603FR-0725K5L</t>
        </is>
      </c>
      <c r="F63" t="inlineStr">
        <is>
          <t>YAGEO</t>
        </is>
      </c>
      <c r="G63" t="inlineStr"/>
      <c r="I63">
        <f>IF(H63="","",H63*B63)</f>
        <v/>
      </c>
      <c r="J63" t="inlineStr"/>
      <c r="K63" t="inlineStr">
        <is>
          <t>R_0603_1608Metric</t>
        </is>
      </c>
      <c r="L63" t="inlineStr"/>
      <c r="M63" s="2" t="inlineStr"/>
    </row>
    <row r="64">
      <c r="A64" t="n">
        <v>63</v>
      </c>
      <c r="B64" t="n">
        <v>1</v>
      </c>
      <c r="C64" s="2" t="inlineStr">
        <is>
          <t>R64</t>
        </is>
      </c>
      <c r="D64" t="inlineStr">
        <is>
          <t>290k 0.1%</t>
        </is>
      </c>
      <c r="E64" t="inlineStr">
        <is>
          <t>ERA-3AEB2903V</t>
        </is>
      </c>
      <c r="F64" t="inlineStr">
        <is>
          <t>Panasonic</t>
        </is>
      </c>
      <c r="G64" t="inlineStr"/>
      <c r="I64">
        <f>IF(H64="","",H64*B64)</f>
        <v/>
      </c>
      <c r="J64" t="inlineStr"/>
      <c r="K64" t="inlineStr">
        <is>
          <t>R_0603_1608Metric</t>
        </is>
      </c>
      <c r="L64" t="inlineStr"/>
      <c r="M64" s="2" t="inlineStr"/>
    </row>
    <row r="65">
      <c r="A65" t="n">
        <v>64</v>
      </c>
      <c r="B65" t="n">
        <v>1</v>
      </c>
      <c r="C65" s="2" t="inlineStr">
        <is>
          <t>R66</t>
        </is>
      </c>
      <c r="D65" t="inlineStr">
        <is>
          <t>26.1k</t>
        </is>
      </c>
      <c r="E65" t="inlineStr">
        <is>
          <t>RC0603FR-0726K1L</t>
        </is>
      </c>
      <c r="F65" t="inlineStr">
        <is>
          <t>YAGEO</t>
        </is>
      </c>
      <c r="G65" t="inlineStr"/>
      <c r="I65">
        <f>IF(H65="","",H65*B65)</f>
        <v/>
      </c>
      <c r="J65" t="inlineStr"/>
      <c r="K65" t="inlineStr">
        <is>
          <t>R_0603_1608Metric</t>
        </is>
      </c>
      <c r="L65" t="inlineStr"/>
      <c r="M65" s="2" t="inlineStr"/>
    </row>
    <row r="66">
      <c r="A66" t="n">
        <v>65</v>
      </c>
      <c r="B66" t="n">
        <v>2</v>
      </c>
      <c r="C66" s="2" t="inlineStr">
        <is>
          <t>R67, R68</t>
        </is>
      </c>
      <c r="D66" t="inlineStr">
        <is>
          <t>52.3k</t>
        </is>
      </c>
      <c r="E66" t="inlineStr">
        <is>
          <t>RC0603FR-0752K3L</t>
        </is>
      </c>
      <c r="F66" t="inlineStr">
        <is>
          <t>YAGEO</t>
        </is>
      </c>
      <c r="G66" t="inlineStr"/>
      <c r="I66">
        <f>IF(H66="","",H66*B66)</f>
        <v/>
      </c>
      <c r="J66" t="inlineStr"/>
      <c r="K66" t="inlineStr">
        <is>
          <t>R_0603_1608Metric</t>
        </is>
      </c>
      <c r="L66" t="inlineStr"/>
      <c r="M66" s="2" t="inlineStr"/>
    </row>
    <row r="67">
      <c r="A67" t="n">
        <v>66</v>
      </c>
      <c r="B67" t="n">
        <v>2</v>
      </c>
      <c r="C67" s="2" t="inlineStr">
        <is>
          <t>R70, R72</t>
        </is>
      </c>
      <c r="D67" t="inlineStr">
        <is>
          <t>5.97k 0.1%</t>
        </is>
      </c>
      <c r="E67" t="inlineStr">
        <is>
          <t>ERA-3AEB5971V</t>
        </is>
      </c>
      <c r="F67" t="inlineStr">
        <is>
          <t>Panasonic</t>
        </is>
      </c>
      <c r="G67" t="inlineStr"/>
      <c r="I67">
        <f>IF(H67="","",H67*B67)</f>
        <v/>
      </c>
      <c r="J67" t="inlineStr"/>
      <c r="K67" t="inlineStr">
        <is>
          <t>R_0603_1608Metric</t>
        </is>
      </c>
      <c r="L67" t="inlineStr"/>
      <c r="M67" s="2" t="inlineStr"/>
    </row>
    <row r="68">
      <c r="A68" t="n">
        <v>67</v>
      </c>
      <c r="B68" t="n">
        <v>4</v>
      </c>
      <c r="C68" s="2" t="inlineStr">
        <is>
          <t>R73, R75, R77, R79</t>
        </is>
      </c>
      <c r="D68" t="inlineStr">
        <is>
          <t>7.50k 0.1%</t>
        </is>
      </c>
      <c r="E68" t="inlineStr">
        <is>
          <t>ERA-3AEB7501V</t>
        </is>
      </c>
      <c r="F68" t="inlineStr">
        <is>
          <t>Panasonic</t>
        </is>
      </c>
      <c r="G68" t="inlineStr"/>
      <c r="I68">
        <f>IF(H68="","",H68*B68)</f>
        <v/>
      </c>
      <c r="J68" t="inlineStr"/>
      <c r="K68" t="inlineStr">
        <is>
          <t>R_0603_1608Metric</t>
        </is>
      </c>
      <c r="L68" t="inlineStr"/>
      <c r="M68" s="2" t="inlineStr"/>
    </row>
    <row r="69">
      <c r="A69" t="n">
        <v>68</v>
      </c>
      <c r="B69" t="n">
        <v>4</v>
      </c>
      <c r="C69" s="2" t="inlineStr">
        <is>
          <t>R74, R76, R78, R80</t>
        </is>
      </c>
      <c r="D69" t="inlineStr">
        <is>
          <t>2.67k 0.1%</t>
        </is>
      </c>
      <c r="E69" t="inlineStr">
        <is>
          <t>ERA-3AEB2671V</t>
        </is>
      </c>
      <c r="F69" t="inlineStr">
        <is>
          <t>Panasonic</t>
        </is>
      </c>
      <c r="G69" t="inlineStr"/>
      <c r="I69">
        <f>IF(H69="","",H69*B69)</f>
        <v/>
      </c>
      <c r="J69" t="inlineStr"/>
      <c r="K69" t="inlineStr">
        <is>
          <t>R_0603_1608Metric</t>
        </is>
      </c>
      <c r="L69" t="inlineStr"/>
      <c r="M69" s="2" t="inlineStr"/>
    </row>
    <row r="70">
      <c r="A70" t="n">
        <v>69</v>
      </c>
      <c r="B70" t="n">
        <v>2</v>
      </c>
      <c r="C70" s="2" t="inlineStr">
        <is>
          <t>R82, R88</t>
        </is>
      </c>
      <c r="D70" t="inlineStr">
        <is>
          <t>1k</t>
        </is>
      </c>
      <c r="E70" t="inlineStr">
        <is>
          <t>RC0603FR-071KL</t>
        </is>
      </c>
      <c r="F70" t="inlineStr">
        <is>
          <t>YAGEO</t>
        </is>
      </c>
      <c r="G70" t="inlineStr"/>
      <c r="I70">
        <f>IF(H70="","",H70*B70)</f>
        <v/>
      </c>
      <c r="J70" t="inlineStr"/>
      <c r="K70" t="inlineStr">
        <is>
          <t>R_0603_1608Metric</t>
        </is>
      </c>
      <c r="L70" t="inlineStr"/>
      <c r="M70" s="2" t="inlineStr"/>
    </row>
    <row r="71">
      <c r="A71" t="n">
        <v>70</v>
      </c>
      <c r="B71" t="n">
        <v>1</v>
      </c>
      <c r="C71" s="2" t="inlineStr">
        <is>
          <t>R83</t>
        </is>
      </c>
      <c r="D71" t="inlineStr">
        <is>
          <t>20k</t>
        </is>
      </c>
      <c r="E71" t="inlineStr">
        <is>
          <t>RC0603FR-0720KL</t>
        </is>
      </c>
      <c r="F71" t="inlineStr">
        <is>
          <t>YAGEO</t>
        </is>
      </c>
      <c r="G71" t="inlineStr"/>
      <c r="I71">
        <f>IF(H71="","",H71*B71)</f>
        <v/>
      </c>
      <c r="J71" t="inlineStr"/>
      <c r="K71" t="inlineStr">
        <is>
          <t>R_0603_1608Metric</t>
        </is>
      </c>
      <c r="L71" t="inlineStr"/>
      <c r="M71" s="2" t="inlineStr"/>
    </row>
    <row r="72">
      <c r="A72" t="n">
        <v>71</v>
      </c>
      <c r="B72" t="n">
        <v>1</v>
      </c>
      <c r="C72" s="2" t="inlineStr">
        <is>
          <t>R85</t>
        </is>
      </c>
      <c r="D72" t="inlineStr">
        <is>
          <t>11.8k</t>
        </is>
      </c>
      <c r="E72" t="inlineStr">
        <is>
          <t>RC0603FR-0711K8L</t>
        </is>
      </c>
      <c r="F72" t="inlineStr">
        <is>
          <t>YAGEO</t>
        </is>
      </c>
      <c r="G72" t="inlineStr"/>
      <c r="I72">
        <f>IF(H72="","",H72*B72)</f>
        <v/>
      </c>
      <c r="J72" t="inlineStr"/>
      <c r="K72" t="inlineStr">
        <is>
          <t>R_0603_1608Metric</t>
        </is>
      </c>
      <c r="L72" t="inlineStr"/>
      <c r="M72" s="2" t="inlineStr"/>
    </row>
    <row r="73">
      <c r="A73" t="n">
        <v>72</v>
      </c>
      <c r="B73" t="n">
        <v>2</v>
      </c>
      <c r="C73" s="2" t="inlineStr">
        <is>
          <t>R89, R90</t>
        </is>
      </c>
      <c r="D73" t="inlineStr">
        <is>
          <t>1.5k</t>
        </is>
      </c>
      <c r="E73" t="inlineStr">
        <is>
          <t>RC0603FR-071K5L</t>
        </is>
      </c>
      <c r="F73" t="inlineStr">
        <is>
          <t>YAGEO</t>
        </is>
      </c>
      <c r="G73" t="inlineStr"/>
      <c r="I73">
        <f>IF(H73="","",H73*B73)</f>
        <v/>
      </c>
      <c r="J73" t="inlineStr"/>
      <c r="K73" t="inlineStr">
        <is>
          <t>R_0603_1608Metric</t>
        </is>
      </c>
      <c r="L73" t="inlineStr"/>
      <c r="M73" s="2" t="inlineStr"/>
    </row>
    <row r="74">
      <c r="A74" t="n">
        <v>73</v>
      </c>
      <c r="B74" t="n">
        <v>1</v>
      </c>
      <c r="C74" s="2" t="inlineStr">
        <is>
          <t>R92</t>
        </is>
      </c>
      <c r="D74" t="inlineStr">
        <is>
          <t>100</t>
        </is>
      </c>
      <c r="E74" t="inlineStr">
        <is>
          <t>RC0603FR-07100RL</t>
        </is>
      </c>
      <c r="F74" t="inlineStr">
        <is>
          <t>YAGEO</t>
        </is>
      </c>
      <c r="G74" t="inlineStr"/>
      <c r="I74">
        <f>IF(H74="","",H74*B74)</f>
        <v/>
      </c>
      <c r="J74" t="inlineStr"/>
      <c r="K74" t="inlineStr">
        <is>
          <t>R_0603_1608Metric</t>
        </is>
      </c>
      <c r="L74" t="inlineStr"/>
      <c r="M74" s="2" t="inlineStr"/>
    </row>
    <row r="75">
      <c r="A75" t="n">
        <v>74</v>
      </c>
      <c r="B75" t="n">
        <v>1</v>
      </c>
      <c r="C75" s="2" t="inlineStr">
        <is>
          <t>R96</t>
        </is>
      </c>
      <c r="D75" t="inlineStr">
        <is>
          <t>0R 100A</t>
        </is>
      </c>
      <c r="E75" t="inlineStr">
        <is>
          <t>CSS2H-2512C-000</t>
        </is>
      </c>
      <c r="F75" t="inlineStr">
        <is>
          <t>Bourns</t>
        </is>
      </c>
      <c r="G75" t="inlineStr"/>
      <c r="I75">
        <f>IF(H75="","",H75*B75)</f>
        <v/>
      </c>
      <c r="J75" t="inlineStr"/>
      <c r="K75" t="inlineStr">
        <is>
          <t>R_2512_CSS2H</t>
        </is>
      </c>
      <c r="L75" t="inlineStr"/>
      <c r="M75" s="2" t="inlineStr">
        <is>
          <t>Custom footprint, drawn in Stage 3</t>
        </is>
      </c>
    </row>
    <row r="76">
      <c r="A76" t="n">
        <v>75</v>
      </c>
      <c r="B76" t="n">
        <v>1</v>
      </c>
      <c r="C76" s="2" t="inlineStr">
        <is>
          <t>RS1</t>
        </is>
      </c>
      <c r="D76" t="inlineStr">
        <is>
          <t>2m</t>
        </is>
      </c>
      <c r="E76" t="inlineStr">
        <is>
          <t>CSS2H-2512R-2L00F</t>
        </is>
      </c>
      <c r="F76" t="inlineStr">
        <is>
          <t>Bourns</t>
        </is>
      </c>
      <c r="G76" t="inlineStr"/>
      <c r="I76">
        <f>IF(H76="","",H76*B76)</f>
        <v/>
      </c>
      <c r="J76" t="inlineStr"/>
      <c r="K76" t="inlineStr">
        <is>
          <t>R_2512_Kelvin</t>
        </is>
      </c>
      <c r="L76" t="inlineStr"/>
      <c r="M76" s="2" t="inlineStr">
        <is>
          <t>Custom footprint, drawn in Stage 3</t>
        </is>
      </c>
    </row>
    <row r="77">
      <c r="A77" t="n">
        <v>76</v>
      </c>
      <c r="B77" t="n">
        <v>2</v>
      </c>
      <c r="C77" s="2" t="inlineStr">
        <is>
          <t>RS2, RS3</t>
        </is>
      </c>
      <c r="D77" t="inlineStr">
        <is>
          <t>0.5m</t>
        </is>
      </c>
      <c r="E77" t="inlineStr">
        <is>
          <t>CSS2H-2512R-L500F</t>
        </is>
      </c>
      <c r="F77" t="inlineStr">
        <is>
          <t>Bourns</t>
        </is>
      </c>
      <c r="G77" t="inlineStr"/>
      <c r="I77">
        <f>IF(H77="","",H77*B77)</f>
        <v/>
      </c>
      <c r="J77" t="inlineStr">
        <is>
          <t>C2073667</t>
        </is>
      </c>
      <c r="K77" t="inlineStr">
        <is>
          <t>R_2512_Kelvin</t>
        </is>
      </c>
      <c r="L77" t="inlineStr"/>
      <c r="M77" s="2" t="inlineStr">
        <is>
          <t>Custom footprint, drawn in Stage 3</t>
        </is>
      </c>
    </row>
    <row r="78">
      <c r="A78" t="n">
        <v>77</v>
      </c>
      <c r="B78" t="n">
        <v>1</v>
      </c>
      <c r="C78" s="2" t="inlineStr">
        <is>
          <t>RT1</t>
        </is>
      </c>
      <c r="D78" t="inlineStr">
        <is>
          <t>10k B3380</t>
        </is>
      </c>
      <c r="E78" t="inlineStr">
        <is>
          <t>NCP18XH103F03RB</t>
        </is>
      </c>
      <c r="F78" t="inlineStr">
        <is>
          <t>Murata</t>
        </is>
      </c>
      <c r="G78" t="inlineStr"/>
      <c r="I78">
        <f>IF(H78="","",H78*B78)</f>
        <v/>
      </c>
      <c r="J78" t="inlineStr">
        <is>
          <t>C13564</t>
        </is>
      </c>
      <c r="K78" t="inlineStr">
        <is>
          <t>R_0603_1608Metric</t>
        </is>
      </c>
      <c r="L78" t="inlineStr"/>
      <c r="M78" s="2" t="inlineStr"/>
    </row>
    <row r="79">
      <c r="A79" t="n">
        <v>78</v>
      </c>
      <c r="B79" t="n">
        <v>2</v>
      </c>
      <c r="C79" s="2" t="inlineStr">
        <is>
          <t>U1, U2</t>
        </is>
      </c>
      <c r="D79" t="inlineStr">
        <is>
          <t>Si8274GB1-IS1</t>
        </is>
      </c>
      <c r="E79" t="inlineStr">
        <is>
          <t>Si8274GB1-IS1</t>
        </is>
      </c>
      <c r="F79" t="inlineStr">
        <is>
          <t>Skyworks</t>
        </is>
      </c>
      <c r="G79" t="inlineStr"/>
      <c r="I79">
        <f>IF(H79="","",H79*B79)</f>
        <v/>
      </c>
      <c r="J79" t="inlineStr">
        <is>
          <t>C17368638</t>
        </is>
      </c>
      <c r="K79" t="inlineStr">
        <is>
          <t>SOIC-16_3.9x9.9mm_P1.27mm</t>
        </is>
      </c>
      <c r="L79" t="inlineStr"/>
      <c r="M79" s="2" t="inlineStr">
        <is>
          <t>Required part (CLAUDE.md section 4)</t>
        </is>
      </c>
    </row>
    <row r="80">
      <c r="A80" t="n">
        <v>79</v>
      </c>
      <c r="B80" t="n">
        <v>1</v>
      </c>
      <c r="C80" s="2" t="inlineStr">
        <is>
          <t>U5</t>
        </is>
      </c>
      <c r="D80" t="inlineStr">
        <is>
          <t>LTC3861IUHE#PBF</t>
        </is>
      </c>
      <c r="E80" t="inlineStr">
        <is>
          <t>LTC3861IUHE#PBF</t>
        </is>
      </c>
      <c r="F80" t="inlineStr">
        <is>
          <t>Analog Devices</t>
        </is>
      </c>
      <c r="G80" t="inlineStr"/>
      <c r="I80">
        <f>IF(H80="","",H80*B80)</f>
        <v/>
      </c>
      <c r="J80" t="inlineStr">
        <is>
          <t>C686466</t>
        </is>
      </c>
      <c r="K80" t="inlineStr">
        <is>
          <t>QFN-36-1EP_5x6mm_P0.5mm_EP3.6x4.1mm</t>
        </is>
      </c>
      <c r="L80" t="inlineStr"/>
      <c r="M80" s="2" t="inlineStr"/>
    </row>
    <row r="81">
      <c r="A81" t="n">
        <v>80</v>
      </c>
      <c r="B81" t="n">
        <v>2</v>
      </c>
      <c r="C81" s="2" t="inlineStr">
        <is>
          <t>U6, U7</t>
        </is>
      </c>
      <c r="D81" t="inlineStr">
        <is>
          <t>AMC3301</t>
        </is>
      </c>
      <c r="E81" t="inlineStr">
        <is>
          <t>AMC3301DWER</t>
        </is>
      </c>
      <c r="F81" t="inlineStr">
        <is>
          <t>TI</t>
        </is>
      </c>
      <c r="G81" t="inlineStr"/>
      <c r="I81">
        <f>IF(H81="","",H81*B81)</f>
        <v/>
      </c>
      <c r="J81" t="inlineStr">
        <is>
          <t>C2869778</t>
        </is>
      </c>
      <c r="K81" t="inlineStr">
        <is>
          <t>SOIC-16W_7.5x10.3mm_P1.27mm</t>
        </is>
      </c>
      <c r="L81" t="inlineStr"/>
      <c r="M81" s="2" t="inlineStr"/>
    </row>
    <row r="82">
      <c r="A82" t="n">
        <v>81</v>
      </c>
      <c r="B82" t="n">
        <v>1</v>
      </c>
      <c r="C82" s="2" t="inlineStr">
        <is>
          <t>U8</t>
        </is>
      </c>
      <c r="D82" t="inlineStr">
        <is>
          <t>AMC3330</t>
        </is>
      </c>
      <c r="E82" t="inlineStr">
        <is>
          <t>AMC3330DWER</t>
        </is>
      </c>
      <c r="F82" t="inlineStr">
        <is>
          <t>TI</t>
        </is>
      </c>
      <c r="G82" t="inlineStr"/>
      <c r="I82">
        <f>IF(H82="","",H82*B82)</f>
        <v/>
      </c>
      <c r="J82" t="inlineStr">
        <is>
          <t>C2999368</t>
        </is>
      </c>
      <c r="K82" t="inlineStr">
        <is>
          <t>SOIC-16W_7.5x10.3mm_P1.27mm</t>
        </is>
      </c>
      <c r="L82" t="inlineStr"/>
      <c r="M82" s="2" t="inlineStr"/>
    </row>
    <row r="83">
      <c r="A83" t="n">
        <v>82</v>
      </c>
      <c r="B83" t="n">
        <v>2</v>
      </c>
      <c r="C83" s="2" t="inlineStr">
        <is>
          <t>U9, U10</t>
        </is>
      </c>
      <c r="D83" t="inlineStr">
        <is>
          <t>INA301A3</t>
        </is>
      </c>
      <c r="E83" t="inlineStr">
        <is>
          <t>INA301A3IDGKR</t>
        </is>
      </c>
      <c r="F83" t="inlineStr">
        <is>
          <t>TI</t>
        </is>
      </c>
      <c r="G83" t="inlineStr"/>
      <c r="I83">
        <f>IF(H83="","",H83*B83)</f>
        <v/>
      </c>
      <c r="J83" t="inlineStr">
        <is>
          <t>C2861552</t>
        </is>
      </c>
      <c r="K83" t="inlineStr">
        <is>
          <t>VSSOP-8_3x3mm_P0.65mm</t>
        </is>
      </c>
      <c r="L83" t="inlineStr"/>
      <c r="M83" s="2" t="inlineStr"/>
    </row>
    <row r="84">
      <c r="A84" t="n">
        <v>83</v>
      </c>
      <c r="B84" t="n">
        <v>1</v>
      </c>
      <c r="C84" s="2" t="inlineStr">
        <is>
          <t>U11</t>
        </is>
      </c>
      <c r="D84" t="inlineStr">
        <is>
          <t>LM5012DDAR</t>
        </is>
      </c>
      <c r="E84" t="inlineStr">
        <is>
          <t>LM5012DDAR</t>
        </is>
      </c>
      <c r="F84" t="inlineStr">
        <is>
          <t>TI</t>
        </is>
      </c>
      <c r="G84" t="inlineStr"/>
      <c r="I84">
        <f>IF(H84="","",H84*B84)</f>
        <v/>
      </c>
      <c r="J84" t="inlineStr">
        <is>
          <t>C6079494</t>
        </is>
      </c>
      <c r="K84" t="inlineStr">
        <is>
          <t>HSOP-8-1EP_3.9x4.9mm_P1.27mm_EP2.41x3.1mm</t>
        </is>
      </c>
      <c r="L84" t="inlineStr"/>
      <c r="M84" s="2" t="inlineStr"/>
    </row>
    <row r="85">
      <c r="A85" t="n">
        <v>84</v>
      </c>
      <c r="B85" t="n">
        <v>1</v>
      </c>
      <c r="C85" s="2" t="inlineStr">
        <is>
          <t>U12</t>
        </is>
      </c>
      <c r="D85" t="inlineStr">
        <is>
          <t>LM5069MM-2</t>
        </is>
      </c>
      <c r="E85" t="inlineStr">
        <is>
          <t>LM5069MM-2/NOPB</t>
        </is>
      </c>
      <c r="F85" t="inlineStr">
        <is>
          <t>TI</t>
        </is>
      </c>
      <c r="G85" t="inlineStr"/>
      <c r="I85">
        <f>IF(H85="","",H85*B85)</f>
        <v/>
      </c>
      <c r="J85" t="inlineStr"/>
      <c r="K85" t="inlineStr">
        <is>
          <t>MSOP-10_3x3mm_P0.5mm</t>
        </is>
      </c>
      <c r="L85" t="inlineStr"/>
      <c r="M85" s="2" t="inlineStr"/>
    </row>
    <row r="86">
      <c r="A86" t="n">
        <v>85</v>
      </c>
      <c r="B86" t="n">
        <v>1</v>
      </c>
      <c r="C86" s="2" t="inlineStr">
        <is>
          <t>U13</t>
        </is>
      </c>
      <c r="D86" t="inlineStr">
        <is>
          <t>VOM1271T</t>
        </is>
      </c>
      <c r="E86" t="inlineStr">
        <is>
          <t>VOM1271T</t>
        </is>
      </c>
      <c r="F86" t="inlineStr">
        <is>
          <t>Vishay</t>
        </is>
      </c>
      <c r="G86" t="inlineStr"/>
      <c r="I86">
        <f>IF(H86="","",H86*B86)</f>
        <v/>
      </c>
      <c r="J86" t="inlineStr">
        <is>
          <t>C146286</t>
        </is>
      </c>
      <c r="K86" t="inlineStr">
        <is>
          <t>SOP-4_3.8x4.1mm_P2.54mm</t>
        </is>
      </c>
      <c r="L86" t="inlineStr"/>
      <c r="M86" s="2" t="inlineStr"/>
    </row>
    <row r="87">
      <c r="A87" t="n">
        <v>86</v>
      </c>
      <c r="B87" t="n">
        <v>3</v>
      </c>
      <c r="C87" s="2" t="inlineStr">
        <is>
          <t>U14, U15, U22</t>
        </is>
      </c>
      <c r="D87" t="inlineStr">
        <is>
          <t>TLV3012</t>
        </is>
      </c>
      <c r="E87" t="inlineStr">
        <is>
          <t>TLV3012AIDBVR</t>
        </is>
      </c>
      <c r="F87" t="inlineStr">
        <is>
          <t>TI</t>
        </is>
      </c>
      <c r="G87" t="inlineStr"/>
      <c r="I87">
        <f>IF(H87="","",H87*B87)</f>
        <v/>
      </c>
      <c r="J87" t="inlineStr">
        <is>
          <t>C62505</t>
        </is>
      </c>
      <c r="K87" t="inlineStr">
        <is>
          <t>SOT-23-6</t>
        </is>
      </c>
      <c r="L87" t="inlineStr"/>
      <c r="M87" s="2" t="inlineStr"/>
    </row>
    <row r="88">
      <c r="A88" t="n">
        <v>87</v>
      </c>
      <c r="B88" t="n">
        <v>3</v>
      </c>
      <c r="C88" s="2" t="inlineStr">
        <is>
          <t>U16, U17, U18</t>
        </is>
      </c>
      <c r="D88" t="inlineStr">
        <is>
          <t>SN74LVC1G74</t>
        </is>
      </c>
      <c r="E88" t="inlineStr">
        <is>
          <t>SN74LVC1G74DCTR</t>
        </is>
      </c>
      <c r="F88" t="inlineStr">
        <is>
          <t>TI</t>
        </is>
      </c>
      <c r="G88" t="inlineStr"/>
      <c r="I88">
        <f>IF(H88="","",H88*B88)</f>
        <v/>
      </c>
      <c r="J88" t="inlineStr">
        <is>
          <t>C840104</t>
        </is>
      </c>
      <c r="K88" t="inlineStr">
        <is>
          <t>SSOP-8_2.95x2.8mm_P0.65mm</t>
        </is>
      </c>
      <c r="L88" t="inlineStr"/>
      <c r="M88" s="2" t="inlineStr"/>
    </row>
    <row r="89">
      <c r="A89" t="n">
        <v>88</v>
      </c>
      <c r="B89" t="n">
        <v>3</v>
      </c>
      <c r="C89" s="2" t="inlineStr">
        <is>
          <t>U19, U20, U25</t>
        </is>
      </c>
      <c r="D89" t="inlineStr">
        <is>
          <t>74LVC1G08</t>
        </is>
      </c>
      <c r="E89" t="inlineStr">
        <is>
          <t>SN74LVC1G08DBVR</t>
        </is>
      </c>
      <c r="F89" t="inlineStr">
        <is>
          <t>TI</t>
        </is>
      </c>
      <c r="G89" t="inlineStr"/>
      <c r="I89">
        <f>IF(H89="","",H89*B89)</f>
        <v/>
      </c>
      <c r="J89" t="inlineStr">
        <is>
          <t>C7666</t>
        </is>
      </c>
      <c r="K89" t="inlineStr">
        <is>
          <t>SOT-23-5</t>
        </is>
      </c>
      <c r="L89" t="inlineStr"/>
      <c r="M89" s="2" t="inlineStr"/>
    </row>
    <row r="90">
      <c r="A90" t="n">
        <v>89</v>
      </c>
      <c r="B90" t="n">
        <v>1</v>
      </c>
      <c r="C90" s="2" t="inlineStr">
        <is>
          <t>U21</t>
        </is>
      </c>
      <c r="D90" t="inlineStr">
        <is>
          <t>TPS2553DBVR</t>
        </is>
      </c>
      <c r="E90" t="inlineStr">
        <is>
          <t>TPS2553DBVR</t>
        </is>
      </c>
      <c r="F90" t="inlineStr">
        <is>
          <t>TI</t>
        </is>
      </c>
      <c r="G90" t="inlineStr"/>
      <c r="I90">
        <f>IF(H90="","",H90*B90)</f>
        <v/>
      </c>
      <c r="J90" t="inlineStr">
        <is>
          <t>C55266</t>
        </is>
      </c>
      <c r="K90" t="inlineStr">
        <is>
          <t>SOT-23-6</t>
        </is>
      </c>
      <c r="L90" t="inlineStr"/>
      <c r="M90" s="2" t="inlineStr"/>
    </row>
    <row r="91">
      <c r="A91" s="3" t="n">
        <v>90</v>
      </c>
      <c r="B91" s="3" t="n">
        <v>4</v>
      </c>
      <c r="C91" s="4" t="inlineStr">
        <is>
          <t>C36, C37, C38, C39</t>
        </is>
      </c>
      <c r="D91" s="3" t="inlineStr">
        <is>
          <t>1n/200V</t>
        </is>
      </c>
      <c r="E91" s="3" t="inlineStr">
        <is>
          <t>C0805C102J2GAC7800</t>
        </is>
      </c>
      <c r="F91" s="3" t="inlineStr">
        <is>
          <t>KEMET</t>
        </is>
      </c>
      <c r="G91" s="3" t="inlineStr"/>
      <c r="H91" s="3" t="n"/>
      <c r="I91" s="3">
        <f>IF(H91="","",H91*B91)</f>
        <v/>
      </c>
      <c r="J91" s="3" t="inlineStr">
        <is>
          <t>C2170811</t>
        </is>
      </c>
      <c r="K91" s="3" t="inlineStr">
        <is>
          <t>C_0805_2012Metric</t>
        </is>
      </c>
      <c r="L91" s="3" t="inlineStr">
        <is>
          <t>DNP</t>
        </is>
      </c>
      <c r="M91" s="4" t="inlineStr">
        <is>
          <t>DNP: footprint only</t>
        </is>
      </c>
    </row>
    <row r="92">
      <c r="A92" s="3" t="n">
        <v>91</v>
      </c>
      <c r="B92" s="3" t="n">
        <v>4</v>
      </c>
      <c r="C92" s="4" t="inlineStr">
        <is>
          <t>D10, D11, D12, D13</t>
        </is>
      </c>
      <c r="D92" s="3" t="inlineStr">
        <is>
          <t>SMBJ85A</t>
        </is>
      </c>
      <c r="E92" s="3" t="inlineStr">
        <is>
          <t>SMBJ85A</t>
        </is>
      </c>
      <c r="F92" s="3" t="inlineStr">
        <is>
          <t>Littelfuse</t>
        </is>
      </c>
      <c r="G92" s="3" t="inlineStr"/>
      <c r="H92" s="3" t="n"/>
      <c r="I92" s="3">
        <f>IF(H92="","",H92*B92)</f>
        <v/>
      </c>
      <c r="J92" s="3" t="inlineStr"/>
      <c r="K92" s="3" t="inlineStr">
        <is>
          <t>D_SMB</t>
        </is>
      </c>
      <c r="L92" s="3" t="inlineStr">
        <is>
          <t>DNP</t>
        </is>
      </c>
      <c r="M92" s="4" t="inlineStr">
        <is>
          <t>DNP: footprint only</t>
        </is>
      </c>
    </row>
    <row r="93">
      <c r="A93" s="3" t="n">
        <v>92</v>
      </c>
      <c r="B93" s="3" t="n">
        <v>1</v>
      </c>
      <c r="C93" s="4" t="inlineStr">
        <is>
          <t>F1</t>
        </is>
      </c>
      <c r="D93" s="3" t="inlineStr">
        <is>
          <t>FUSE OPT</t>
        </is>
      </c>
      <c r="E93" s="3" t="inlineStr">
        <is>
          <t>not fitted</t>
        </is>
      </c>
      <c r="F93" s="3" t="inlineStr"/>
      <c r="G93" s="3" t="inlineStr"/>
      <c r="H93" s="3" t="n"/>
      <c r="I93" s="3">
        <f>IF(H93="","",H93*B93)</f>
        <v/>
      </c>
      <c r="J93" s="3" t="inlineStr"/>
      <c r="K93" s="3" t="inlineStr">
        <is>
          <t>Fuse_Littelfuse_NANO2_456</t>
        </is>
      </c>
      <c r="L93" s="3" t="inlineStr">
        <is>
          <t>DNP</t>
        </is>
      </c>
      <c r="M93" s="4" t="inlineStr">
        <is>
          <t>Custom footprint, drawn in Stage 3; DNP: footprint only</t>
        </is>
      </c>
    </row>
    <row r="94">
      <c r="A94" s="3" t="n">
        <v>93</v>
      </c>
      <c r="B94" s="3" t="n">
        <v>4</v>
      </c>
      <c r="C94" s="4" t="inlineStr">
        <is>
          <t>R23, R24, R25, R26</t>
        </is>
      </c>
      <c r="D94" s="3" t="inlineStr">
        <is>
          <t>2.2</t>
        </is>
      </c>
      <c r="E94" s="3" t="inlineStr">
        <is>
          <t>RC1206FR-072R2L</t>
        </is>
      </c>
      <c r="F94" s="3" t="inlineStr">
        <is>
          <t>YAGEO</t>
        </is>
      </c>
      <c r="G94" s="3" t="inlineStr"/>
      <c r="H94" s="3" t="n"/>
      <c r="I94" s="3">
        <f>IF(H94="","",H94*B94)</f>
        <v/>
      </c>
      <c r="J94" s="3" t="inlineStr"/>
      <c r="K94" s="3" t="inlineStr">
        <is>
          <t>R_1206_3216Metric</t>
        </is>
      </c>
      <c r="L94" s="3" t="inlineStr">
        <is>
          <t>DNP</t>
        </is>
      </c>
      <c r="M94" s="4" t="inlineStr">
        <is>
          <t>DNP: footprint only</t>
        </is>
      </c>
    </row>
    <row r="95">
      <c r="A95" s="3" t="n">
        <v>94</v>
      </c>
      <c r="B95" s="3" t="n">
        <v>1</v>
      </c>
      <c r="C95" s="4" t="inlineStr">
        <is>
          <t>R42</t>
        </is>
      </c>
      <c r="D95" s="3" t="inlineStr">
        <is>
          <t>0</t>
        </is>
      </c>
      <c r="E95" s="3" t="inlineStr">
        <is>
          <t>RC0603JR-070RL</t>
        </is>
      </c>
      <c r="F95" s="3" t="inlineStr">
        <is>
          <t>YAGEO</t>
        </is>
      </c>
      <c r="G95" s="3" t="inlineStr"/>
      <c r="H95" s="3" t="n"/>
      <c r="I95" s="3">
        <f>IF(H95="","",H95*B95)</f>
        <v/>
      </c>
      <c r="J95" s="3" t="inlineStr"/>
      <c r="K95" s="3" t="inlineStr">
        <is>
          <t>R_0603_1608Metric</t>
        </is>
      </c>
      <c r="L95" s="3" t="inlineStr">
        <is>
          <t>DNP</t>
        </is>
      </c>
      <c r="M95" s="4" t="inlineStr">
        <is>
          <t>DNP: footprint only</t>
        </is>
      </c>
    </row>
    <row r="96">
      <c r="A96" s="3" t="n">
        <v>95</v>
      </c>
      <c r="B96" s="3" t="n">
        <v>1</v>
      </c>
      <c r="C96" s="4" t="inlineStr">
        <is>
          <t>R63</t>
        </is>
      </c>
      <c r="D96" s="3" t="inlineStr">
        <is>
          <t>10k</t>
        </is>
      </c>
      <c r="E96" s="3" t="inlineStr">
        <is>
          <t>RC0603FR-0710KL</t>
        </is>
      </c>
      <c r="F96" s="3" t="inlineStr">
        <is>
          <t>YAGEO</t>
        </is>
      </c>
      <c r="G96" s="3" t="inlineStr"/>
      <c r="H96" s="3" t="n"/>
      <c r="I96" s="3">
        <f>IF(H96="","",H96*B96)</f>
        <v/>
      </c>
      <c r="J96" s="3" t="inlineStr"/>
      <c r="K96" s="3" t="inlineStr">
        <is>
          <t>R_0603_1608Metric</t>
        </is>
      </c>
      <c r="L96" s="3" t="inlineStr">
        <is>
          <t>DNP</t>
        </is>
      </c>
      <c r="M96" s="4" t="inlineStr">
        <is>
          <t>DNP: footprint only</t>
        </is>
      </c>
    </row>
    <row r="97">
      <c r="A97" s="5" t="n"/>
      <c r="B97" s="5">
        <f>SUM(B2:B96)</f>
        <v/>
      </c>
      <c r="C97" s="5" t="inlineStr">
        <is>
          <t>parts (incl. DNP)</t>
        </is>
      </c>
      <c r="D97" s="5" t="n"/>
      <c r="E97" s="5" t="n"/>
      <c r="F97" s="5" t="n"/>
      <c r="G97" s="5" t="n"/>
      <c r="H97" s="5" t="inlineStr">
        <is>
          <t>Known total:</t>
        </is>
      </c>
      <c r="I97" s="5">
        <f>SUM(I2:I96)</f>
        <v/>
      </c>
      <c r="J97" s="5" t="n"/>
      <c r="K97" s="5" t="n"/>
      <c r="L97" s="5" t="n"/>
      <c r="M97" s="5" t="n"/>
    </row>
  </sheetData>
  <autoFilter ref="A1:M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G17" sqref="G17"/>
    </sheetView>
  </sheetViews>
  <sheetFormatPr baseColWidth="8" defaultRowHeight="14.4"/>
  <cols>
    <col width="19" customWidth="1" min="3" max="3"/>
  </cols>
  <sheetData>
    <row r="1">
      <c r="A1" t="inlineStr">
        <is>
          <t>Index</t>
        </is>
      </c>
      <c r="B1" t="inlineStr">
        <is>
          <t>Manufacturer Part Number</t>
        </is>
      </c>
      <c r="C1" t="inlineStr">
        <is>
          <t>Manufacturer Name</t>
        </is>
      </c>
      <c r="D1" t="inlineStr">
        <is>
          <t>Requested Quantity 1</t>
        </is>
      </c>
      <c r="E1" t="inlineStr">
        <is>
          <t>Digi-Key Part Number 1</t>
        </is>
      </c>
      <c r="F1" t="inlineStr">
        <is>
          <t>Unit Price 1</t>
        </is>
      </c>
      <c r="H1" t="inlineStr">
        <is>
          <t>Reference Designator</t>
        </is>
      </c>
    </row>
    <row r="2">
      <c r="A2" t="n">
        <v>1</v>
      </c>
      <c r="B2" t="inlineStr">
        <is>
          <t>SI86S620BC-IS</t>
        </is>
      </c>
      <c r="C2" t="inlineStr">
        <is>
          <t>Skyworks Solutions Inc.</t>
        </is>
      </c>
      <c r="D2" t="n">
        <v>2</v>
      </c>
      <c r="E2" t="inlineStr">
        <is>
          <t>863-SI86S620BC-IS-ND</t>
        </is>
      </c>
      <c r="F2" t="inlineStr">
        <is>
          <t>3.28000</t>
        </is>
      </c>
      <c r="G2">
        <f>F2*D2</f>
        <v/>
      </c>
      <c r="H2" t="inlineStr">
        <is>
          <t>AT1,AT2</t>
        </is>
      </c>
    </row>
    <row r="3">
      <c r="A3" t="n">
        <v>2</v>
      </c>
      <c r="B3" t="inlineStr">
        <is>
          <t>SS110HL-TP</t>
        </is>
      </c>
      <c r="C3" t="inlineStr">
        <is>
          <t>MCC (Micro Commercial Components)</t>
        </is>
      </c>
      <c r="D3" t="n">
        <v>4</v>
      </c>
      <c r="E3" t="inlineStr">
        <is>
          <t>353-SS110HL-TPCT-ND</t>
        </is>
      </c>
      <c r="F3" t="inlineStr">
        <is>
          <t>0.36000</t>
        </is>
      </c>
      <c r="G3">
        <f>F3*D3</f>
        <v/>
      </c>
      <c r="H3" t="inlineStr">
        <is>
          <t>D1,D2,D3,D4</t>
        </is>
      </c>
    </row>
    <row r="4">
      <c r="A4" t="n">
        <v>3</v>
      </c>
      <c r="B4" t="inlineStr">
        <is>
          <t>1053131206</t>
        </is>
      </c>
      <c r="C4" t="inlineStr">
        <is>
          <t>Molex</t>
        </is>
      </c>
      <c r="D4" t="n">
        <v>1</v>
      </c>
      <c r="E4" t="inlineStr">
        <is>
          <t>WM14975-ND</t>
        </is>
      </c>
      <c r="F4" t="inlineStr">
        <is>
          <t>2.54000</t>
        </is>
      </c>
      <c r="G4">
        <f>F4*D4</f>
        <v/>
      </c>
      <c r="H4" t="inlineStr">
        <is>
          <t>J4</t>
        </is>
      </c>
    </row>
    <row r="5">
      <c r="A5" t="n">
        <v>4</v>
      </c>
      <c r="B5" t="inlineStr">
        <is>
          <t>ERUC23-3R2K</t>
        </is>
      </c>
      <c r="C5" t="inlineStr">
        <is>
          <t>TDK</t>
        </is>
      </c>
      <c r="D5" t="n">
        <v>1</v>
      </c>
      <c r="E5" t="inlineStr">
        <is>
          <t>495-ERUC23-3R2KCT-ND</t>
        </is>
      </c>
      <c r="F5" t="inlineStr">
        <is>
          <t>8.96000</t>
        </is>
      </c>
      <c r="G5">
        <f>F5*D5</f>
        <v/>
      </c>
      <c r="H5" t="inlineStr">
        <is>
          <t>L1</t>
        </is>
      </c>
    </row>
    <row r="6">
      <c r="A6" t="n">
        <v>5</v>
      </c>
      <c r="B6" t="inlineStr">
        <is>
          <t>NME1S0505SC</t>
        </is>
      </c>
      <c r="C6" t="inlineStr">
        <is>
          <t>Murata Power Solutions Inc.</t>
        </is>
      </c>
      <c r="D6" t="n">
        <v>1</v>
      </c>
      <c r="E6" t="inlineStr">
        <is>
          <t>811-NME1S0505SC-ND</t>
        </is>
      </c>
      <c r="F6" t="inlineStr">
        <is>
          <t>1.86000</t>
        </is>
      </c>
      <c r="G6">
        <f>F6*D6</f>
        <v/>
      </c>
      <c r="H6" t="inlineStr">
        <is>
          <t>PS1</t>
        </is>
      </c>
    </row>
    <row r="7">
      <c r="A7" t="n">
        <v>6</v>
      </c>
      <c r="B7" t="inlineStr">
        <is>
          <t>EPC2304</t>
        </is>
      </c>
      <c r="C7" t="inlineStr">
        <is>
          <t>EPC</t>
        </is>
      </c>
      <c r="D7" t="n">
        <v>4</v>
      </c>
      <c r="E7" t="inlineStr">
        <is>
          <t>917-EPC2304CT-ND</t>
        </is>
      </c>
      <c r="F7" t="inlineStr">
        <is>
          <t>9.05000</t>
        </is>
      </c>
      <c r="G7">
        <f>F7*D7</f>
        <v/>
      </c>
      <c r="H7" t="inlineStr">
        <is>
          <t>Q3,Q4,Q5,Q6</t>
        </is>
      </c>
    </row>
    <row r="8">
      <c r="A8" t="n">
        <v>7</v>
      </c>
      <c r="B8" t="inlineStr">
        <is>
          <t>1EDN7550UXTSA1</t>
        </is>
      </c>
      <c r="C8" t="inlineStr">
        <is>
          <t>Infineon Technologies</t>
        </is>
      </c>
      <c r="D8" t="n">
        <v>4</v>
      </c>
      <c r="E8" t="inlineStr">
        <is>
          <t>448-1EDN7550UXTSA1CT-ND</t>
        </is>
      </c>
      <c r="F8" t="inlineStr">
        <is>
          <t>0.80000</t>
        </is>
      </c>
      <c r="G8">
        <f>F8*D8</f>
        <v/>
      </c>
      <c r="H8" t="inlineStr">
        <is>
          <t>U1,U2,U3,U4</t>
        </is>
      </c>
    </row>
    <row r="9">
      <c r="A9" t="n">
        <v>8</v>
      </c>
      <c r="B9" t="inlineStr">
        <is>
          <t>ERJ-2GEJ2R0X</t>
        </is>
      </c>
      <c r="C9" t="inlineStr">
        <is>
          <t>Panasonic Industry</t>
        </is>
      </c>
      <c r="D9" t="n">
        <v>4</v>
      </c>
      <c r="E9" t="inlineStr">
        <is>
          <t>P2.0JCT-ND</t>
        </is>
      </c>
      <c r="F9" t="inlineStr">
        <is>
          <t>0.10000</t>
        </is>
      </c>
      <c r="G9">
        <f>F9*D9</f>
        <v/>
      </c>
      <c r="H9" t="inlineStr">
        <is>
          <t>R15,R16,R17,R18</t>
        </is>
      </c>
    </row>
    <row r="10">
      <c r="A10" t="n">
        <v>9</v>
      </c>
      <c r="B10" t="inlineStr">
        <is>
          <t>ERJ-2GEJ5R6X</t>
        </is>
      </c>
      <c r="C10" t="inlineStr">
        <is>
          <t>Panasonic Industry</t>
        </is>
      </c>
      <c r="D10" t="n">
        <v>4</v>
      </c>
      <c r="E10" t="inlineStr">
        <is>
          <t>P5.6JCT-ND</t>
        </is>
      </c>
      <c r="F10" t="inlineStr">
        <is>
          <t>0.10000</t>
        </is>
      </c>
      <c r="G10">
        <f>F10*D10</f>
        <v/>
      </c>
      <c r="H10" t="inlineStr">
        <is>
          <t>R13,R14,R19,R20</t>
        </is>
      </c>
    </row>
    <row r="11">
      <c r="A11" t="n">
        <v>10</v>
      </c>
      <c r="B11" t="inlineStr">
        <is>
          <t>RC0402JR-074R7L</t>
        </is>
      </c>
      <c r="C11" t="inlineStr">
        <is>
          <t>YAGEO</t>
        </is>
      </c>
      <c r="D11" t="n">
        <v>4</v>
      </c>
      <c r="E11" t="inlineStr">
        <is>
          <t>311-4.7JRCT-ND</t>
        </is>
      </c>
      <c r="F11" t="inlineStr">
        <is>
          <t>0.10000</t>
        </is>
      </c>
      <c r="G11">
        <f>F11*D11</f>
        <v/>
      </c>
      <c r="H11" t="inlineStr">
        <is>
          <t>R9,R10,R11,R12</t>
        </is>
      </c>
    </row>
    <row r="12">
      <c r="A12" t="n">
        <v>11</v>
      </c>
      <c r="B12" t="inlineStr">
        <is>
          <t>ERA-2AEB513X</t>
        </is>
      </c>
      <c r="C12" t="inlineStr">
        <is>
          <t>Panasonic Industry</t>
        </is>
      </c>
      <c r="D12" t="n">
        <v>8</v>
      </c>
      <c r="E12" t="inlineStr">
        <is>
          <t>P51KDCCT-ND</t>
        </is>
      </c>
      <c r="F12" t="inlineStr">
        <is>
          <t>0.11000</t>
        </is>
      </c>
      <c r="G12">
        <f>F12*D12</f>
        <v/>
      </c>
      <c r="H12" t="inlineStr">
        <is>
          <t>R1,R2,R3,R4,R5,R6,R7,R8</t>
        </is>
      </c>
    </row>
    <row r="13">
      <c r="A13" t="n">
        <v>12</v>
      </c>
      <c r="B13" t="inlineStr">
        <is>
          <t>GRM21BD72A225KE01L</t>
        </is>
      </c>
      <c r="C13" t="inlineStr">
        <is>
          <t>Murata Electronics</t>
        </is>
      </c>
      <c r="D13" t="n">
        <v>4</v>
      </c>
      <c r="E13" t="inlineStr">
        <is>
          <t>490-GRM21BD72A225KE01LCT-ND</t>
        </is>
      </c>
      <c r="F13" t="inlineStr">
        <is>
          <t>0.44000</t>
        </is>
      </c>
      <c r="G13">
        <f>F13*D13</f>
        <v/>
      </c>
      <c r="H13" t="inlineStr">
        <is>
          <t>C1,C2,C3,C4</t>
        </is>
      </c>
    </row>
    <row r="14">
      <c r="A14" t="n">
        <v>13</v>
      </c>
      <c r="B14" t="inlineStr">
        <is>
          <t>GRM155R62A104KE14D</t>
        </is>
      </c>
      <c r="C14" t="inlineStr">
        <is>
          <t>Murata Electronics</t>
        </is>
      </c>
      <c r="D14" t="n">
        <v>6</v>
      </c>
      <c r="E14" t="inlineStr">
        <is>
          <t>490-10458-1-ND</t>
        </is>
      </c>
      <c r="F14" t="inlineStr">
        <is>
          <t>0.10000</t>
        </is>
      </c>
      <c r="G14">
        <f>F14*D14</f>
        <v/>
      </c>
      <c r="H14" t="inlineStr">
        <is>
          <t>C7,C8,C9,C10,C11,C13</t>
        </is>
      </c>
    </row>
    <row r="15">
      <c r="A15" t="n">
        <v>14</v>
      </c>
      <c r="B15" t="inlineStr">
        <is>
          <t>GRM155R61A106ME11D</t>
        </is>
      </c>
      <c r="C15" t="inlineStr">
        <is>
          <t>Murata Electronics</t>
        </is>
      </c>
      <c r="D15" t="n">
        <v>2</v>
      </c>
      <c r="E15" t="inlineStr">
        <is>
          <t>490-GRM155R61A106ME11DCT-ND</t>
        </is>
      </c>
      <c r="F15" t="inlineStr">
        <is>
          <t>0.11000</t>
        </is>
      </c>
      <c r="G15">
        <f>F15*D15</f>
        <v/>
      </c>
      <c r="H15" t="inlineStr">
        <is>
          <t>C12,C14</t>
        </is>
      </c>
    </row>
    <row r="16">
      <c r="A16" t="n">
        <v>15</v>
      </c>
      <c r="B16" t="inlineStr">
        <is>
          <t>EGXF161ELL111MK25S</t>
        </is>
      </c>
      <c r="C16" t="inlineStr">
        <is>
          <t>Chemi-Con</t>
        </is>
      </c>
      <c r="D16" t="n">
        <v>5</v>
      </c>
      <c r="E16" t="inlineStr">
        <is>
          <t>565-EGXF161ELL111MK25S-ND</t>
        </is>
      </c>
      <c r="F16" t="inlineStr">
        <is>
          <t>2.07000</t>
        </is>
      </c>
      <c r="G16">
        <f>F16*D16</f>
        <v/>
      </c>
      <c r="H16" t="inlineStr">
        <is>
          <t>C5,C6</t>
        </is>
      </c>
    </row>
    <row r="17">
      <c r="G17">
        <f>SUM(G2:G16)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2026-10-17T00:38:43Z</dcterms:created>
  <dcterms:modified xsi:type="dcterms:W3CDTF">2026-10-17T04:26:42Z</dcterms:modified>
  <cp:lastModifiedBy>Tanishq Shendokar</cp:lastModifiedBy>
</cp:coreProperties>
</file>